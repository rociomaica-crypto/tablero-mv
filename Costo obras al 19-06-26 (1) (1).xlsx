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vaceros-my.sharepoint.com/personal/analista2_metalurgicavera_com_py1/Documents/Yennifer Mancuello/1-LINK Y FORMATO REPORTE COSTO/"/>
    </mc:Choice>
  </mc:AlternateContent>
  <xr:revisionPtr revIDLastSave="21" documentId="8_{2049F895-E094-4F20-87DB-AAA442D15886}" xr6:coauthVersionLast="47" xr6:coauthVersionMax="47" xr10:uidLastSave="{A8761523-D2C5-4653-AE03-9F0574FEFE01}"/>
  <bookViews>
    <workbookView xWindow="-120" yWindow="-120" windowWidth="29040" windowHeight="15720" xr2:uid="{00000000-000D-0000-FFFF-FFFF00000000}"/>
  </bookViews>
  <sheets>
    <sheet name="m" sheetId="1" r:id="rId1"/>
  </sheets>
  <definedNames>
    <definedName name="_xlnm._FilterDatabase" localSheetId="0" hidden="1">m!$A$1:$AF$244</definedName>
  </definedNames>
  <calcPr calcId="181029"/>
</workbook>
</file>

<file path=xl/calcChain.xml><?xml version="1.0" encoding="utf-8"?>
<calcChain xmlns="http://schemas.openxmlformats.org/spreadsheetml/2006/main">
  <c r="AE214" i="1" l="1"/>
  <c r="AE210" i="1"/>
  <c r="AE155" i="1"/>
  <c r="AE41" i="1"/>
  <c r="AE40" i="1"/>
  <c r="AE39" i="1"/>
  <c r="AE31" i="1"/>
  <c r="AE4" i="1"/>
</calcChain>
</file>

<file path=xl/sharedStrings.xml><?xml version="1.0" encoding="utf-8"?>
<sst xmlns="http://schemas.openxmlformats.org/spreadsheetml/2006/main" count="290" uniqueCount="290">
  <si>
    <t xml:space="preserve">Nro. OT </t>
  </si>
  <si>
    <t>Cobertura - Chapas</t>
  </si>
  <si>
    <t>Transporte a Obra</t>
  </si>
  <si>
    <t>Grúa</t>
  </si>
  <si>
    <t>Insumos en Obra</t>
  </si>
  <si>
    <t>Costo de Cobertura Ejecutado</t>
  </si>
  <si>
    <t>Otras Maquinas</t>
  </si>
  <si>
    <t>Gastos de Obra</t>
  </si>
  <si>
    <t>Steel Deck</t>
  </si>
  <si>
    <t>Costo Indirecto de Obras</t>
  </si>
  <si>
    <t>Otros 3 + Observación</t>
  </si>
  <si>
    <t>Otros 1 + Observación</t>
  </si>
  <si>
    <t>Otros 2 + Observación</t>
  </si>
  <si>
    <t>Mano de Obra Montaje</t>
  </si>
  <si>
    <t>Costo de Transporte a Obra Ejecutado</t>
  </si>
  <si>
    <t>Costo de Grúa Ejecutado</t>
  </si>
  <si>
    <t>Total Costos Obras</t>
  </si>
  <si>
    <t>Costo de Mano Obra Montaje Ejecutado</t>
  </si>
  <si>
    <t>Costo de Insumos en Obra Ejecutado</t>
  </si>
  <si>
    <t>Otras Maquinas Ejecutado</t>
  </si>
  <si>
    <t>Costo de Gastos de Obra Ejecutado</t>
  </si>
  <si>
    <t>Steel Deck Ejecutado</t>
  </si>
  <si>
    <t>Costo Indirecto de Obras Ejecutado</t>
  </si>
  <si>
    <t>Otros 1 Ejecutado</t>
  </si>
  <si>
    <t>Otros 2 Ejecutado</t>
  </si>
  <si>
    <t>Otros 3 Ejecutado</t>
  </si>
  <si>
    <t>Total General</t>
  </si>
  <si>
    <t>Saldo</t>
  </si>
  <si>
    <t>Nombre de la Obra</t>
  </si>
  <si>
    <t>Nro. Reg</t>
  </si>
  <si>
    <t>Item</t>
  </si>
  <si>
    <t>El Ahorrazo Villa Elisa</t>
  </si>
  <si>
    <t>Mantenimiento de techo Megalog</t>
  </si>
  <si>
    <t>Cielo Raso Mas Espacio Bauleras</t>
  </si>
  <si>
    <t>Puente Grua 15TN a cadena COTRIPAR S.A.,</t>
  </si>
  <si>
    <t>Estructura fachada_Ciudad Deportiva</t>
  </si>
  <si>
    <t>Sudameris Bank PJC</t>
  </si>
  <si>
    <t>Puerto de Asunción Galpón G</t>
  </si>
  <si>
    <t>Oficina Administrativa PARGLASS - calculo del clie</t>
  </si>
  <si>
    <t>Techo Burlanda 2_Alcogreen</t>
  </si>
  <si>
    <t>TECHO CONEXIÓN ENTRE DEPOSITO - QUIMAFLEX</t>
  </si>
  <si>
    <t>Refuerzo Galpón G</t>
  </si>
  <si>
    <t>Refuerzo Galpón C</t>
  </si>
  <si>
    <t>Refuerzo Galpón A</t>
  </si>
  <si>
    <t>Refuerzo de Galpón B</t>
  </si>
  <si>
    <t>Desmonte Galpón A</t>
  </si>
  <si>
    <t>Adic. 01 -  Obrador CIE_DIFERENCIA DE CHAPAS</t>
  </si>
  <si>
    <t>Adicionales techo gimnacio CH</t>
  </si>
  <si>
    <t>Fachada J. Fleischman</t>
  </si>
  <si>
    <t>Sala de Entrenamiento - Parglass</t>
  </si>
  <si>
    <t>Viga Soporte_Indufar</t>
  </si>
  <si>
    <t>Adic. 13_Hangar 9_Oficinas</t>
  </si>
  <si>
    <t>Techo Electropar</t>
  </si>
  <si>
    <t>Adic. 02_Escalera Triplex Calcena</t>
  </si>
  <si>
    <t>Adicional PCF - Techo Conexion - Aeropuerto - SALA TECNICA</t>
  </si>
  <si>
    <t>Puerto de Asunción Galpón C</t>
  </si>
  <si>
    <t>ADICIONAL 02 -CORREAS METÁLICA PARA TECHO - NA</t>
  </si>
  <si>
    <t>Servicio de Montaje de cabeceras p/ RS - J y D Industrial y Comercial E.A.S.</t>
  </si>
  <si>
    <t>Servicio de Montaje RS Picking - Mazarron Py S.A.</t>
  </si>
  <si>
    <t>Servicio de Montaje RS Picking - Global Market Py S.A.</t>
  </si>
  <si>
    <t>Adicional Grua  - Nucleo de Ascensor - Shopping Costanera</t>
  </si>
  <si>
    <t>TERRAZA BAR NACIONAL CASA CENTRAL</t>
  </si>
  <si>
    <t>Servicio de Montaje RS - Lactalis Paraguay S.A. - CDE</t>
  </si>
  <si>
    <t>Adicional - Ampliación Es Vedra</t>
  </si>
  <si>
    <t>Reparacion y Mantenimiento preventivo de PG. N.º 74</t>
  </si>
  <si>
    <t>Cerramiento eje 1 y eje 18_Parque Ámerica</t>
  </si>
  <si>
    <t xml:space="preserve"> Adicional San Ramon - Arq. Maria Rehnfeldt</t>
  </si>
  <si>
    <t>Fachada Shopping Mcal</t>
  </si>
  <si>
    <t>Desmonte y montaje de PG - Agrobay</t>
  </si>
  <si>
    <t>CPP-FPTI-PY-024-2024 - Estructuras Metálicas - Adic.</t>
  </si>
  <si>
    <t>CPP-FPTI-PY-024-2024 - Parte Civil - Adic.</t>
  </si>
  <si>
    <t>Servicio de Grúa Obra Tupi</t>
  </si>
  <si>
    <t>Servicio de Montaje RS - HEKOPORA - Adic. 2</t>
  </si>
  <si>
    <t>Estructura para Fachada Globo Import export</t>
  </si>
  <si>
    <t>Adicional - Puentes Peatonales y Ascensores Panorómicos</t>
  </si>
  <si>
    <t>Adic. 02_Tapas y rejillas_Callizo</t>
  </si>
  <si>
    <t>Adic. 01_Hotel APF_Ypané</t>
  </si>
  <si>
    <t>Depósito Líneas Interiores_Chapas traslúcidas</t>
  </si>
  <si>
    <t>AMPLIACION ELECTROPAR TECHO</t>
  </si>
  <si>
    <t>AMPLIACION ELECTROPAR CHAPAS</t>
  </si>
  <si>
    <t>Adicional Escalera Externa Techo Conexion - Aeropuerto</t>
  </si>
  <si>
    <t>PCF - Perseverancia R3</t>
  </si>
  <si>
    <t>ADICIONAL PARED CERRAMIENTO LA CAOBA SDS SECTOR LUJO</t>
  </si>
  <si>
    <t>ADICIONAL PILARES LA CAOBA SDS SECTOR LUJO</t>
  </si>
  <si>
    <t>Techo Edificio RDK_Adicional 01</t>
  </si>
  <si>
    <t>RETECHADO SALA DE MAQUINAS 1 - HANSA PLASTIC</t>
  </si>
  <si>
    <t>ADICIONAL VIVIENDA KEMPER VOUGA</t>
  </si>
  <si>
    <t>Adicionales - Techo Conexion - Aeropuerto</t>
  </si>
  <si>
    <t>Techos Efisa_ESTRUCTURA_Adic. 05</t>
  </si>
  <si>
    <t>Adicional Barandas sector tanque -Pasarela Metálica Munich</t>
  </si>
  <si>
    <t>Portón Corredizo</t>
  </si>
  <si>
    <t>Escalera  Suc. Capiata Aratiri</t>
  </si>
  <si>
    <t>Adicional Centro de Productores 4 Mojones</t>
  </si>
  <si>
    <t>Servicio de Montaje RS - Cecilio Fretes</t>
  </si>
  <si>
    <t>Mensulas para  refuerzo de  Ascensor</t>
  </si>
  <si>
    <t>Retechado Shopping del  Sol</t>
  </si>
  <si>
    <t>Adicionales Cavallaro</t>
  </si>
  <si>
    <t>PROLONGACIÓN DE TECHO EN TERRAZAS - PLG</t>
  </si>
  <si>
    <t>Servicio de Montaje de Entrepiso - MT Alimentos y Bebidas S.A. Ruta 2</t>
  </si>
  <si>
    <t>Servicio de montaje RS Kingo Avelino Mundo trade</t>
  </si>
  <si>
    <t>Mantenimiento de techo Ypane</t>
  </si>
  <si>
    <t>Puerta Metálica Aeropuerto</t>
  </si>
  <si>
    <t xml:space="preserve"> Techo Polideportivo - PRODE- Propuesta MV.</t>
  </si>
  <si>
    <t>ADICIONAL CANALETA 2 VIVIENDA KEMPER VOUGA</t>
  </si>
  <si>
    <t>REFUERZO TECHO ENTREPISO CCM3</t>
  </si>
  <si>
    <t>Desmonte y repintado de PCF</t>
  </si>
  <si>
    <t>Ducto para chimenea  y tapas para ductos</t>
  </si>
  <si>
    <t>ADICIONAL DE BULONERÍA GALPÓN 40X80 ISLA PUCU</t>
  </si>
  <si>
    <t>Cerramiento lateral y fondo de frerreteria PIR 50 Marf/Marf</t>
  </si>
  <si>
    <t>Desmonte y montaje de Guinche de 5tn</t>
  </si>
  <si>
    <t>Pilares_Pollpar</t>
  </si>
  <si>
    <t>Muro para sector Pre-VIP - Adic.</t>
  </si>
  <si>
    <t>Revestidos - Fachadas_Adicional 01</t>
  </si>
  <si>
    <t>Puente Grua 10TN a cadena, 11.7 de luz y 60m de recorrido en planta</t>
  </si>
  <si>
    <t>Galpón Villeta_ TYC</t>
  </si>
  <si>
    <t>Cerramiento fachadas oficina</t>
  </si>
  <si>
    <t>Servicio de Montaje de Vgas para Rack - Electropar</t>
  </si>
  <si>
    <t>Adicional Clinica Seyes</t>
  </si>
  <si>
    <t>Anclajes AN 15 - 06- Parglass</t>
  </si>
  <si>
    <t>Adic. 14_Hangar 9_Oficinas</t>
  </si>
  <si>
    <t>Pórtico de acceso_APF_Adic. 03</t>
  </si>
  <si>
    <t>Adecuación Zona Trampolines - Adicional</t>
  </si>
  <si>
    <t>PLATAFORMA PARA AIREACONDICIONADO - BOLSIPLAST</t>
  </si>
  <si>
    <t>Servicio de mantenimiento Rampa KB+ Bodega 8</t>
  </si>
  <si>
    <t>Mantenimiento Portón</t>
  </si>
  <si>
    <t>SERVICIO DE MONTAJE DE SOPORTE DE BOBINAS - ELECTROPAR</t>
  </si>
  <si>
    <t>Servicio de Montaje OT 507 - Nutrisilo SA</t>
  </si>
  <si>
    <t>Adic. 01_ Servicio de desmontaje y  montaje de Dinteles</t>
  </si>
  <si>
    <t>Mano de obra Persianas - Area Horno / IS Mashine</t>
  </si>
  <si>
    <t>Servicio de mano de obra_Corpasa</t>
  </si>
  <si>
    <t>Reparación de Techo Kingspan</t>
  </si>
  <si>
    <t>Entrepiso_Indufar_Adic.01</t>
  </si>
  <si>
    <t>Portones fondo de una hoja corredizo interno Aratiri</t>
  </si>
  <si>
    <t>Escaleras  y Barandas Aratiri</t>
  </si>
  <si>
    <t>Canaletas y bajadas, Aratiri</t>
  </si>
  <si>
    <t>Adic. 01_Techo Burlanda 2_Alcogreen</t>
  </si>
  <si>
    <t>Adic. 15 Hangar 9_Oficinas</t>
  </si>
  <si>
    <t>Servicio de reparación_Medsupar</t>
  </si>
  <si>
    <t>Servicio de Montaje RS - ELECTROPAR</t>
  </si>
  <si>
    <t>Adicional Babetas - Shopping Costanera</t>
  </si>
  <si>
    <t>ELEVACIÓN DE TECHO MUNICH - TECNOEDIL</t>
  </si>
  <si>
    <t>Adicional 02 - Adecuación Zona Trampolines</t>
  </si>
  <si>
    <t>Ganchos para izaje de Escalera Mecanica</t>
  </si>
  <si>
    <t>Provision y fabricación,  Las Residentas F1</t>
  </si>
  <si>
    <t>MO Galpón Las Residentas F1</t>
  </si>
  <si>
    <t>Estructura fachada_Ciudad Deportiva_Adic. 01</t>
  </si>
  <si>
    <t>Fabricacion y provision de Placas</t>
  </si>
  <si>
    <t>Sala Generadores   - PARGLASS</t>
  </si>
  <si>
    <t>Abrazadera para Postes</t>
  </si>
  <si>
    <t>CONTRAVIGA - ADICIONAL -TECHO RIOS REPUESTOS</t>
  </si>
  <si>
    <t>Chapa antideslizante 4mm - PASEO LA GALERIA</t>
  </si>
  <si>
    <t>Anden de Carga</t>
  </si>
  <si>
    <t>Galpón Dos Beta_ESTRUCTURAS</t>
  </si>
  <si>
    <t>Canaletas embutidas y bajadas R. F.1</t>
  </si>
  <si>
    <t>Adic. 01_ Galpón Dos Beta_Montaje Chapas</t>
  </si>
  <si>
    <t>Servicio de modificaciones_Hangar 7</t>
  </si>
  <si>
    <t>Servicio de MO Steel Deck y panel</t>
  </si>
  <si>
    <t>Servicio de Mantenimiento PCF- VITRUM</t>
  </si>
  <si>
    <t>Adic. 04_Depósito Líneas Interiores</t>
  </si>
  <si>
    <t>Casa de Bombas</t>
  </si>
  <si>
    <t>Decantador y trinchera del Área del sotano</t>
  </si>
  <si>
    <t>Cullet Decanter</t>
  </si>
  <si>
    <t>Provision materiales y fabricación, Galpon Yukyry</t>
  </si>
  <si>
    <t>Entrepiso_Hilagro</t>
  </si>
  <si>
    <t>Servicio de Montaje RS c/ entrepiso - QUIMAFLEX SRL</t>
  </si>
  <si>
    <t>Servicio de Montaje RS - TAJY SRL</t>
  </si>
  <si>
    <t>Servicio de Montaje RS - AMANECER Pinturas S.A. - Central</t>
  </si>
  <si>
    <t>Servicio de MO p/ instalación de Vigas y Bandejas - ELECTROPAR</t>
  </si>
  <si>
    <t>Pérgola _Ed. Nest</t>
  </si>
  <si>
    <t>MO montaje Galpon Yukyry</t>
  </si>
  <si>
    <t>Adicional 4 - CORREAS METALICAS PARA TECHO - NA</t>
  </si>
  <si>
    <t>Portón, puerta CF y escalera con baranda YUKYRY</t>
  </si>
  <si>
    <t>Fabricacion y provision Galpon Suc. MV Aceros - It</t>
  </si>
  <si>
    <t>Adicional Techo ampliación - CLINICA SEYES - ALFREDO MONTERO</t>
  </si>
  <si>
    <t>Servicio de Limpieza y mantenimiento de canaletas</t>
  </si>
  <si>
    <t>Barandas - Sector Rampas Peatonales</t>
  </si>
  <si>
    <t>Pilares para entrepiso Galpón B</t>
  </si>
  <si>
    <t>Pilares para entrepiso Galpón A</t>
  </si>
  <si>
    <t>Pilares para entrepiso Galpón C</t>
  </si>
  <si>
    <t>Adicional Mano de Obra Escalera Externa Techo Conexion - Aeropuerto</t>
  </si>
  <si>
    <t>Babetas _ Viv. Kemper</t>
  </si>
  <si>
    <t>Pasarela y escalera_Hilagro</t>
  </si>
  <si>
    <t>Cielo Raso BOLSI PLAST</t>
  </si>
  <si>
    <t>Estructura fachada y pérgola_ATC_Adic. 01</t>
  </si>
  <si>
    <t>Adicional Servicio de Montaje RS - AMANECER Pinturas S.A. - Central</t>
  </si>
  <si>
    <t>Adic.16_Hangar 9_Oficinas</t>
  </si>
  <si>
    <t>Rieles  IM F3 porton 12</t>
  </si>
  <si>
    <t>PCF 1000x2100 - Las Tacuaras, Villeta</t>
  </si>
  <si>
    <t>OBRA CCA - TECNOEDIL</t>
  </si>
  <si>
    <t>Entrepiso_Vivienda Bittar</t>
  </si>
  <si>
    <t>Techo ascensor Jade Park</t>
  </si>
  <si>
    <t>Retechado Mas Espacio</t>
  </si>
  <si>
    <t>Cerramiento Lateral Panificadora</t>
  </si>
  <si>
    <t>Mantenimiento Techo expo S.Rita</t>
  </si>
  <si>
    <t>Marquesina Carde APF</t>
  </si>
  <si>
    <t>Techo Salón El Corral_Estructura</t>
  </si>
  <si>
    <t>Adic. 01_Techo Salón El Corral_Chapas</t>
  </si>
  <si>
    <t>Adic. 02_Techo Salón El Corral_Carpintería</t>
  </si>
  <si>
    <t>Pilares Galpón G lado muelle</t>
  </si>
  <si>
    <t>Techo Hotel 2 APF</t>
  </si>
  <si>
    <t>Adicional Pilares  - Fortis CDE Opc. 2</t>
  </si>
  <si>
    <t>Servicio de Montaje - ELECTROPAR - 2do. Pedido</t>
  </si>
  <si>
    <t>Servicio de Montaje - MAS FERTIL SAE</t>
  </si>
  <si>
    <t>RB-ISOTELHA PIRAP 30MM-RAL9003 0,43/RAL9003 0,43.</t>
  </si>
  <si>
    <t>Inserto Adicional Techo Club House</t>
  </si>
  <si>
    <t>Anclajes Ampliación Aeropuerto</t>
  </si>
  <si>
    <t>Porticos de Acceso Imbiotec</t>
  </si>
  <si>
    <t>Estructuta soporte de Losa</t>
  </si>
  <si>
    <t>Estructura para Soporte de Vidrio  - Puerto de Asunción Galpón G</t>
  </si>
  <si>
    <t>Portones Puerto Galpón G</t>
  </si>
  <si>
    <t>Montaje de Tuberias Pluvial</t>
  </si>
  <si>
    <t>Estructura para soporte de AA - Puerto de Asunción Galpón G</t>
  </si>
  <si>
    <t>Inserto Parasol_Arq Sandra</t>
  </si>
  <si>
    <t>NAVE 4 CDLUQUE CHACOMER OP PILAR 16M</t>
  </si>
  <si>
    <t>Puntales - Adicional RIOS REPUESTOS MARIANO</t>
  </si>
  <si>
    <t>Pilar IS - Adicional RIOS REPUESTOS MARIANO</t>
  </si>
  <si>
    <t>Desmonte y cambio de rieles San Lorenzo</t>
  </si>
  <si>
    <t>Puerto de Asunción Galpón A</t>
  </si>
  <si>
    <t>Puerto de Asunción Galpón B</t>
  </si>
  <si>
    <t>Cambio de Ganchos</t>
  </si>
  <si>
    <t>MO Ampliacion Galpón Suc. MV Aceros - Itá</t>
  </si>
  <si>
    <t>Techo Porteria Parglass</t>
  </si>
  <si>
    <t>Pintura General de Porticos Galpón G</t>
  </si>
  <si>
    <t>Servicio de modificación de pilares_Pollpar</t>
  </si>
  <si>
    <t>Asistencia a reparación de portón - Don Gabriel Vera</t>
  </si>
  <si>
    <t>Adicional Cerramiento -Centro de Productores 4 Mojones</t>
  </si>
  <si>
    <t>Puentes G 7.5TN y Vigas C. Ampliacion Ita M</t>
  </si>
  <si>
    <t>Ampliación Servicio Aeropuerto</t>
  </si>
  <si>
    <t>Vigas Para Sujeción de vidrio</t>
  </si>
  <si>
    <t>Cerramiento Lateral lado Oficina del Gobierno</t>
  </si>
  <si>
    <t>Portón_Triplex Calcena_OPC. 1</t>
  </si>
  <si>
    <t>Vigas Carrileras RF1</t>
  </si>
  <si>
    <t>Adicional 2- Refuerzo de Estructura Paseo La Galeria</t>
  </si>
  <si>
    <t>Rampas - Panificadora</t>
  </si>
  <si>
    <t>Soporte de Cinta Transportadora- REM</t>
  </si>
  <si>
    <t>Cambio de chapas y babetas</t>
  </si>
  <si>
    <t>Adicional - Retechado Sala de Maquinas 1 - HANSA PLASTIC</t>
  </si>
  <si>
    <t>Cambio de chapas_ Viv. Kemper</t>
  </si>
  <si>
    <t>Desmonte y modificación de cercado</t>
  </si>
  <si>
    <t>Servicio de desarrollo de proyecto_2Beta</t>
  </si>
  <si>
    <t>Adicional Pintura General de Porticos Galpón G</t>
  </si>
  <si>
    <t>Cerramiento movil</t>
  </si>
  <si>
    <t>Servicio de Montaje OT 619 - DANICO</t>
  </si>
  <si>
    <t>Cerramiento con Lona - Puerto Asunción</t>
  </si>
  <si>
    <t>Adicionales - Siderurgica Las Lomas</t>
  </si>
  <si>
    <t>Adicional -  REM - E.M. - PAREDES EDIFICIO HORNO</t>
  </si>
  <si>
    <t>TECHO CALIGARIS - SAN BERNARDINO</t>
  </si>
  <si>
    <t>Adicional - Porticos de Acceso Imbiotec</t>
  </si>
  <si>
    <t>Adic. 02_Entrepiso_Hilagro</t>
  </si>
  <si>
    <t>Adic. 03_Baranda Salón El Corral</t>
  </si>
  <si>
    <t>Adic. 02_Mod. pilar 2Beta</t>
  </si>
  <si>
    <t>Tenet Vivienda Astigarraga</t>
  </si>
  <si>
    <t>Anden de carga-Frigochaco</t>
  </si>
  <si>
    <t>Provisión de Abrigo montaje y modificación de medida para portón  de 3450x3400</t>
  </si>
  <si>
    <t>Servicio de Montaje OT 637 AMANECER</t>
  </si>
  <si>
    <t>Pilares Met para entrepiso en vestibulo secundario- Puerto de Asunción Galpón G</t>
  </si>
  <si>
    <t>Pilares Met para entrepiso en Fachada principal - Puerto de Asunción Galpón G</t>
  </si>
  <si>
    <t>Cambio de chapa MV T40 Galvalume 0.54, Aratiri</t>
  </si>
  <si>
    <t>Adecuación Zona Trampolines - Adicional 3</t>
  </si>
  <si>
    <t>Rerfuerzo Galpón B en Losa Inferior</t>
  </si>
  <si>
    <t>Rerfuerzo Galpón C en Losa Inferior</t>
  </si>
  <si>
    <t>Adic. 02_Estructura fachada_Ciudad Deportiva</t>
  </si>
  <si>
    <t>Servicio de Montaje RS y RM - Agroganadera La Huella S.A.</t>
  </si>
  <si>
    <t>Puente Grúa 5tn Glonifer</t>
  </si>
  <si>
    <t>Adic. 05_Pórtico para Toten El Corral</t>
  </si>
  <si>
    <t>PF Comedor Ita</t>
  </si>
  <si>
    <t>EXPLANADA SHOPPING COSTANERA</t>
  </si>
  <si>
    <t>Ríos Repuestos Mcal. López_Estructuras</t>
  </si>
  <si>
    <t>MO Comedor Ita</t>
  </si>
  <si>
    <t>Mano de obra para revestido de Pilar y babetas</t>
  </si>
  <si>
    <t>Fabricación de perfil IS</t>
  </si>
  <si>
    <t>Adicional Placa Cementicia - Ampliación Servicio Aeropuerto</t>
  </si>
  <si>
    <t>Canaletas y Babetas - Vivienda Llano</t>
  </si>
  <si>
    <t>Adicional - REM - E.M. - PAREDES EDIFICIO HORNO</t>
  </si>
  <si>
    <t>TECHO VIVIENDA DOS SANTOS OPC N° 2</t>
  </si>
  <si>
    <t>Parasol_Edif. First Mariscal</t>
  </si>
  <si>
    <t>LPI 1844/24 OBRAS PRELIMINARES ACARAY</t>
  </si>
  <si>
    <t>Escalera Marinera - Parglass</t>
  </si>
  <si>
    <t>Mano de Obra - Galpón Aratiri</t>
  </si>
  <si>
    <t>San Ramon - Arq. Maria Rehnfeldt</t>
  </si>
  <si>
    <t>Adicional - Ziplan / Canaleta Opción Zipada - PARG</t>
  </si>
  <si>
    <t>Galpón N°3 30x90, Puerto Seguro</t>
  </si>
  <si>
    <t>Proyecto REM - E.M. - PAREDES EDIFICIO HORNO</t>
  </si>
  <si>
    <t>Adecuación Zona Trampolines</t>
  </si>
  <si>
    <t>Bauleras Amplación</t>
  </si>
  <si>
    <t>CPP-FPTI-PY-024-2024 - Estructuras Metálicas</t>
  </si>
  <si>
    <t>Techo Club House Golf</t>
  </si>
  <si>
    <t>Nave de Producción PARGLASS Opc 2</t>
  </si>
  <si>
    <t>Puentes Peatonales y Ascensores Panorómicos con riostras R3 Victoria Rigia DP</t>
  </si>
  <si>
    <t>Siderurgica Las Lomas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</si>
</sst>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9" x14ac:knownFonts="1">
    <font>
      <sz val="10"/>
      <name val="Arial"/>
    </font>
    <font>
      <b/>
      <sz val="8"/>
      <color indexed="64"/>
      <name val="Arial"/>
      <family val="2"/>
      <charset val="1"/>
    </font>
    <font>
      <b/>
      <sz val="7"/>
      <color indexed="64"/>
      <name val="Arial"/>
      <family val="2"/>
      <charset val="1"/>
    </font>
    <font>
      <b/>
      <sz val="8"/>
      <color indexed="64"/>
      <name val="Arial"/>
      <family val="2"/>
    </font>
    <font>
      <b/>
      <sz val="9"/>
      <color indexed="64"/>
      <name val="Arial"/>
      <family val="2"/>
    </font>
    <font>
      <b/>
      <sz val="9"/>
      <color indexed="8"/>
      <name val="Arial"/>
      <family val="2"/>
      <charset val="1"/>
    </font>
    <font>
      <sz val="9"/>
      <color indexed="8"/>
      <name val="Arial"/>
      <family val="2"/>
      <charset val="1"/>
    </font>
    <font>
      <b/>
      <sz val="9"/>
      <color indexed="9"/>
      <name val="Arial"/>
      <family val="2"/>
    </font>
    <font>
      <sz val="9"/>
      <color indexed="64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indexed="6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2" borderId="1" xfId="0" applyNumberFormat="1" applyFont="1" applyFill="1" applyBorder="1" applyAlignment="1">
      <alignment horizontal="center" vertical="top" wrapText="1"/>
    </xf>
    <xf numFmtId="49" fontId="1" fillId="3" borderId="1" xfId="0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49" fontId="3" fillId="3" borderId="1" xfId="0" applyNumberFormat="1" applyFont="1" applyFill="1" applyBorder="1" applyAlignment="1">
      <alignment horizontal="center" vertical="top" wrapText="1"/>
    </xf>
    <xf numFmtId="49" fontId="3" fillId="4" borderId="1" xfId="0" applyNumberFormat="1" applyFont="1" applyFill="1" applyBorder="1" applyAlignment="1">
      <alignment horizontal="center" vertical="top" wrapText="1"/>
    </xf>
    <xf numFmtId="49" fontId="4" fillId="4" borderId="1" xfId="0" applyNumberFormat="1" applyFont="1" applyFill="1" applyBorder="1" applyAlignment="1">
      <alignment horizontal="center" vertical="top" wrapText="1"/>
    </xf>
    <xf numFmtId="49" fontId="5" fillId="4" borderId="1" xfId="0" applyNumberFormat="1" applyFont="1" applyFill="1" applyBorder="1" applyAlignment="1">
      <alignment horizontal="center" vertical="top" wrapText="1"/>
    </xf>
    <xf numFmtId="3" fontId="6" fillId="5" borderId="1" xfId="0" applyNumberFormat="1" applyFont="1" applyFill="1" applyBorder="1" applyAlignment="1">
      <alignment horizontal="right" vertical="top"/>
    </xf>
    <xf numFmtId="3" fontId="6" fillId="6" borderId="1" xfId="0" applyNumberFormat="1" applyFont="1" applyFill="1" applyBorder="1" applyAlignment="1">
      <alignment horizontal="right" vertical="top"/>
    </xf>
    <xf numFmtId="4" fontId="6" fillId="6" borderId="1" xfId="0" applyNumberFormat="1" applyFont="1" applyFill="1" applyBorder="1" applyAlignment="1">
      <alignment horizontal="right" vertical="top"/>
    </xf>
    <xf numFmtId="3" fontId="7" fillId="7" borderId="1" xfId="0" applyNumberFormat="1" applyFont="1" applyFill="1" applyBorder="1" applyAlignment="1">
      <alignment horizontal="right" vertical="top"/>
    </xf>
    <xf numFmtId="49" fontId="6" fillId="8" borderId="1" xfId="0" applyNumberFormat="1" applyFont="1" applyFill="1" applyBorder="1" applyAlignment="1">
      <alignment horizontal="left" vertical="top" wrapText="1"/>
    </xf>
    <xf numFmtId="49" fontId="6" fillId="8" borderId="1" xfId="0" applyNumberFormat="1" applyFont="1" applyFill="1" applyBorder="1" applyAlignment="1">
      <alignment horizontal="center" vertical="top"/>
    </xf>
    <xf numFmtId="164" fontId="4" fillId="9" borderId="1" xfId="0" applyNumberFormat="1" applyFont="1" applyFill="1" applyBorder="1" applyAlignment="1">
      <alignment horizontal="center" vertical="top"/>
    </xf>
    <xf numFmtId="49" fontId="6" fillId="10" borderId="1" xfId="0" applyNumberFormat="1" applyFont="1" applyFill="1" applyBorder="1" applyAlignment="1">
      <alignment horizontal="left" vertical="top" wrapText="1"/>
    </xf>
    <xf numFmtId="49" fontId="6" fillId="10" borderId="1" xfId="0" applyNumberFormat="1" applyFont="1" applyFill="1" applyBorder="1" applyAlignment="1">
      <alignment horizontal="center" vertical="top"/>
    </xf>
    <xf numFmtId="164" fontId="4" fillId="4" borderId="1" xfId="0" applyNumberFormat="1" applyFont="1" applyFill="1" applyBorder="1" applyAlignment="1">
      <alignment horizontal="center" vertical="top"/>
    </xf>
    <xf numFmtId="164" fontId="4" fillId="11" borderId="1" xfId="0" applyNumberFormat="1" applyFont="1" applyFill="1" applyBorder="1" applyAlignment="1">
      <alignment horizontal="center" vertical="top"/>
    </xf>
    <xf numFmtId="164" fontId="4" fillId="12" borderId="1" xfId="0" applyNumberFormat="1" applyFont="1" applyFill="1" applyBorder="1" applyAlignment="1">
      <alignment horizontal="center" vertical="top"/>
    </xf>
    <xf numFmtId="49" fontId="1" fillId="3" borderId="1" xfId="0" applyNumberFormat="1" applyFont="1" applyFill="1" applyBorder="1" applyAlignment="1">
      <alignment vertical="top" wrapText="1"/>
    </xf>
    <xf numFmtId="0" fontId="6" fillId="8" borderId="1" xfId="0" applyFont="1" applyFill="1" applyBorder="1" applyAlignment="1">
      <alignment horizontal="center" vertical="top"/>
    </xf>
    <xf numFmtId="0" fontId="6" fillId="10" borderId="1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right" vertical="top" wrapText="1"/>
    </xf>
    <xf numFmtId="165" fontId="0" fillId="0" borderId="0" xfId="0" applyNumberFormat="1"/>
    <xf numFmtId="164" fontId="4" fillId="13" borderId="1" xfId="0" applyNumberFormat="1" applyFont="1" applyFill="1" applyBorder="1" applyAlignment="1">
      <alignment horizontal="center" vertical="top"/>
    </xf>
    <xf numFmtId="49" fontId="6" fillId="8" borderId="1" xfId="0" applyNumberFormat="1" applyFont="1" applyFill="1" applyBorder="1" applyAlignment="1">
      <alignment horizontal="left" vertical="top"/>
    </xf>
    <xf numFmtId="49" fontId="6" fillId="10" borderId="1" xfId="0" applyNumberFormat="1" applyFont="1" applyFill="1" applyBorder="1" applyAlignment="1">
      <alignment horizontal="left" vertical="top"/>
    </xf>
    <xf numFmtId="0" fontId="6" fillId="10" borderId="1" xfId="0" applyNumberFormat="1" applyFont="1" applyFill="1" applyBorder="1" applyAlignment="1">
      <alignment horizontal="center" vertical="top"/>
    </xf>
    <xf numFmtId="0" fontId="6" fillId="8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2B2B"/>
      <rgbColor rgb="00FFFF3E"/>
      <rgbColor rgb="00EFEFEF"/>
      <rgbColor rgb="0000FF80"/>
      <rgbColor rgb="00D6D6D6"/>
      <rgbColor rgb="00C0C0C0"/>
      <rgbColor rgb="00008080"/>
      <rgbColor rgb="00C0DCC0"/>
      <rgbColor rgb="00A6CAF0"/>
      <rgbColor rgb="00B0FBAE"/>
      <rgbColor rgb="00FFFFFF"/>
      <rgbColor rgb="00FFFBF0"/>
      <rgbColor rgb="0099B4D1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60"/>
  <sheetViews>
    <sheetView tabSelected="1" workbookViewId="0">
      <selection activeCell="D15" sqref="D15"/>
    </sheetView>
  </sheetViews>
  <sheetFormatPr baseColWidth="10" defaultColWidth="9.140625" defaultRowHeight="12.75" x14ac:dyDescent="0.2"/>
  <cols>
    <col min="1" max="1" width="5.140625" customWidth="1"/>
    <col min="2" max="2" width="11.140625" customWidth="1"/>
    <col min="3" max="3" width="11" customWidth="1"/>
    <col min="4" max="4" width="46.7109375" customWidth="1"/>
    <col min="5" max="6" width="13.42578125" customWidth="1"/>
    <col min="7" max="7" width="13.140625" customWidth="1"/>
    <col min="8" max="8" width="14" customWidth="1"/>
    <col min="9" max="9" width="13.5703125" customWidth="1"/>
    <col min="10" max="10" width="13.7109375" customWidth="1"/>
    <col min="11" max="11" width="13" customWidth="1"/>
    <col min="12" max="12" width="13.42578125" customWidth="1"/>
    <col min="13" max="13" width="16.7109375" customWidth="1"/>
    <col min="14" max="14" width="14" customWidth="1"/>
    <col min="15" max="15" width="14.140625" customWidth="1"/>
    <col min="16" max="16" width="14" customWidth="1"/>
    <col min="17" max="17" width="17.85546875" customWidth="1"/>
    <col min="18" max="18" width="14" customWidth="1"/>
    <col min="19" max="20" width="13.7109375" customWidth="1"/>
    <col min="21" max="21" width="14" customWidth="1"/>
    <col min="22" max="22" width="13.5703125" customWidth="1"/>
    <col min="23" max="23" width="13.7109375" customWidth="1"/>
    <col min="24" max="24" width="15.140625" customWidth="1"/>
    <col min="25" max="25" width="13.7109375" customWidth="1"/>
    <col min="26" max="26" width="17.28515625" customWidth="1"/>
    <col min="27" max="27" width="14.42578125" customWidth="1"/>
    <col min="28" max="29" width="14.28515625" customWidth="1"/>
    <col min="30" max="30" width="16" customWidth="1"/>
    <col min="31" max="31" width="13.7109375" customWidth="1"/>
    <col min="32" max="32" width="11.5703125" bestFit="1" customWidth="1"/>
    <col min="33" max="33" width="12.42578125" bestFit="1" customWidth="1"/>
  </cols>
  <sheetData>
    <row r="1" spans="1:31" ht="26.85" customHeight="1" x14ac:dyDescent="0.2">
      <c r="A1" s="1" t="s">
        <v>30</v>
      </c>
      <c r="B1" s="1" t="s">
        <v>29</v>
      </c>
      <c r="C1" s="1" t="s">
        <v>0</v>
      </c>
      <c r="D1" s="1" t="s">
        <v>28</v>
      </c>
      <c r="E1" s="2" t="s">
        <v>1</v>
      </c>
      <c r="F1" s="2" t="s">
        <v>2</v>
      </c>
      <c r="G1" s="2" t="s">
        <v>3</v>
      </c>
      <c r="H1" s="4" t="s">
        <v>6</v>
      </c>
      <c r="I1" s="2" t="s">
        <v>13</v>
      </c>
      <c r="J1" s="2" t="s">
        <v>4</v>
      </c>
      <c r="K1" s="4" t="s">
        <v>8</v>
      </c>
      <c r="L1" s="20" t="s">
        <v>7</v>
      </c>
      <c r="M1" s="4" t="s">
        <v>9</v>
      </c>
      <c r="N1" s="20" t="s">
        <v>11</v>
      </c>
      <c r="O1" s="20" t="s">
        <v>12</v>
      </c>
      <c r="P1" s="20" t="s">
        <v>10</v>
      </c>
      <c r="Q1" s="4" t="s">
        <v>16</v>
      </c>
      <c r="R1" s="3" t="s">
        <v>5</v>
      </c>
      <c r="S1" s="3" t="s">
        <v>14</v>
      </c>
      <c r="T1" s="3" t="s">
        <v>15</v>
      </c>
      <c r="U1" s="5" t="s">
        <v>19</v>
      </c>
      <c r="V1" s="3" t="s">
        <v>17</v>
      </c>
      <c r="W1" s="3" t="s">
        <v>18</v>
      </c>
      <c r="X1" s="5" t="s">
        <v>21</v>
      </c>
      <c r="Y1" s="3" t="s">
        <v>20</v>
      </c>
      <c r="Z1" s="6" t="s">
        <v>22</v>
      </c>
      <c r="AA1" s="6" t="s">
        <v>23</v>
      </c>
      <c r="AB1" s="6" t="s">
        <v>24</v>
      </c>
      <c r="AC1" s="6" t="s">
        <v>25</v>
      </c>
      <c r="AD1" s="3" t="s">
        <v>26</v>
      </c>
      <c r="AE1" s="7" t="s">
        <v>27</v>
      </c>
    </row>
    <row r="2" spans="1:31" ht="11.85" customHeight="1" x14ac:dyDescent="0.2">
      <c r="A2" s="23">
        <v>1</v>
      </c>
      <c r="B2" s="13">
        <v>29346</v>
      </c>
      <c r="C2" s="13">
        <v>25381</v>
      </c>
      <c r="D2" s="12" t="s">
        <v>31</v>
      </c>
      <c r="E2" s="9">
        <v>1455478120</v>
      </c>
      <c r="F2" s="9">
        <v>54249000</v>
      </c>
      <c r="G2" s="9">
        <v>118698000</v>
      </c>
      <c r="H2" s="9">
        <v>112000000</v>
      </c>
      <c r="I2" s="9">
        <v>380600000</v>
      </c>
      <c r="J2" s="10">
        <v>44349000</v>
      </c>
      <c r="K2" s="9">
        <v>0</v>
      </c>
      <c r="L2" s="9">
        <v>0</v>
      </c>
      <c r="M2" s="9">
        <v>513281673</v>
      </c>
      <c r="N2" s="9">
        <v>439955720</v>
      </c>
      <c r="O2" s="9">
        <v>125714955</v>
      </c>
      <c r="P2" s="9">
        <v>0</v>
      </c>
      <c r="Q2" s="9">
        <v>3244326468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175847650.25933</v>
      </c>
      <c r="AA2" s="8">
        <v>0</v>
      </c>
      <c r="AB2" s="8">
        <v>0</v>
      </c>
      <c r="AC2" s="8">
        <v>0</v>
      </c>
      <c r="AD2" s="11">
        <v>175847650.25933</v>
      </c>
      <c r="AE2" s="14">
        <v>6.5647721786003296E-2</v>
      </c>
    </row>
    <row r="3" spans="1:31" ht="11.85" customHeight="1" x14ac:dyDescent="0.2">
      <c r="A3" s="23">
        <v>2</v>
      </c>
      <c r="B3" s="16">
        <v>29586</v>
      </c>
      <c r="C3" s="16">
        <v>25345</v>
      </c>
      <c r="D3" s="15" t="s">
        <v>32</v>
      </c>
      <c r="E3" s="9">
        <v>0</v>
      </c>
      <c r="F3" s="9">
        <v>1200000</v>
      </c>
      <c r="G3" s="9">
        <v>0</v>
      </c>
      <c r="H3" s="9">
        <v>0</v>
      </c>
      <c r="I3" s="9">
        <v>33600000</v>
      </c>
      <c r="J3" s="10">
        <v>27000000</v>
      </c>
      <c r="K3" s="9">
        <v>0</v>
      </c>
      <c r="L3" s="9">
        <v>0</v>
      </c>
      <c r="M3" s="9">
        <v>10689600</v>
      </c>
      <c r="N3" s="9">
        <v>0</v>
      </c>
      <c r="O3" s="9">
        <v>0</v>
      </c>
      <c r="P3" s="9">
        <v>0</v>
      </c>
      <c r="Q3" s="9">
        <v>72489600</v>
      </c>
      <c r="R3" s="8">
        <v>0</v>
      </c>
      <c r="S3" s="8">
        <v>768500</v>
      </c>
      <c r="T3" s="8">
        <v>0</v>
      </c>
      <c r="U3" s="8">
        <v>0</v>
      </c>
      <c r="V3" s="8">
        <v>7945560.9000000004</v>
      </c>
      <c r="W3" s="8">
        <v>31647795.4826</v>
      </c>
      <c r="X3" s="8">
        <v>0</v>
      </c>
      <c r="Y3" s="8">
        <v>1386426.15</v>
      </c>
      <c r="Z3" s="8">
        <v>2427989.5853900001</v>
      </c>
      <c r="AA3" s="8">
        <v>0</v>
      </c>
      <c r="AB3" s="8">
        <v>0</v>
      </c>
      <c r="AC3" s="8">
        <v>0</v>
      </c>
      <c r="AD3" s="11">
        <v>44176272.117990002</v>
      </c>
      <c r="AE3" s="14">
        <v>0.60941531085824718</v>
      </c>
    </row>
    <row r="4" spans="1:31" ht="11.85" customHeight="1" x14ac:dyDescent="0.2">
      <c r="A4" s="23">
        <v>3</v>
      </c>
      <c r="B4" s="13">
        <v>30449</v>
      </c>
      <c r="C4" s="13">
        <v>25599</v>
      </c>
      <c r="D4" s="12" t="s">
        <v>33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10">
        <v>0</v>
      </c>
      <c r="K4" s="9">
        <v>0</v>
      </c>
      <c r="L4" s="9">
        <v>0</v>
      </c>
      <c r="M4" s="9">
        <v>0</v>
      </c>
      <c r="N4" s="9">
        <v>47505920</v>
      </c>
      <c r="O4" s="9">
        <v>0</v>
      </c>
      <c r="P4" s="9">
        <v>0</v>
      </c>
      <c r="Q4" s="9">
        <v>47505920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43187200</v>
      </c>
      <c r="Z4" s="8">
        <v>1424666.56085</v>
      </c>
      <c r="AA4" s="8">
        <v>0</v>
      </c>
      <c r="AB4" s="8">
        <v>0</v>
      </c>
      <c r="AC4" s="8">
        <v>0</v>
      </c>
      <c r="AD4" s="11">
        <v>44611866.560850002</v>
      </c>
      <c r="AE4" s="17">
        <f>+AD4/Q4</f>
        <v>0.93908015171267079</v>
      </c>
    </row>
    <row r="5" spans="1:31" ht="11.85" customHeight="1" x14ac:dyDescent="0.2">
      <c r="A5" s="23">
        <v>4</v>
      </c>
      <c r="B5" s="16">
        <v>30541</v>
      </c>
      <c r="C5" s="16">
        <v>25406</v>
      </c>
      <c r="D5" s="15" t="s">
        <v>34</v>
      </c>
      <c r="E5" s="9">
        <v>0</v>
      </c>
      <c r="F5" s="9">
        <v>9400000</v>
      </c>
      <c r="G5" s="9">
        <v>0</v>
      </c>
      <c r="H5" s="9">
        <v>0</v>
      </c>
      <c r="I5" s="9">
        <v>20200000</v>
      </c>
      <c r="J5" s="10">
        <v>3900000</v>
      </c>
      <c r="K5" s="9">
        <v>0</v>
      </c>
      <c r="L5" s="9">
        <v>6300000</v>
      </c>
      <c r="M5" s="9">
        <v>49994650</v>
      </c>
      <c r="N5" s="9">
        <v>0</v>
      </c>
      <c r="O5" s="9">
        <v>0</v>
      </c>
      <c r="P5" s="9">
        <v>0</v>
      </c>
      <c r="Q5" s="9">
        <v>89794650</v>
      </c>
      <c r="R5" s="8">
        <v>0</v>
      </c>
      <c r="S5" s="8">
        <v>11717091</v>
      </c>
      <c r="T5" s="8">
        <v>0</v>
      </c>
      <c r="U5" s="8">
        <v>0</v>
      </c>
      <c r="V5" s="8">
        <v>7557540.4500000002</v>
      </c>
      <c r="W5" s="8">
        <v>1121227.118</v>
      </c>
      <c r="X5" s="8">
        <v>0</v>
      </c>
      <c r="Y5" s="8">
        <v>6220498</v>
      </c>
      <c r="Z5" s="8">
        <v>19858498.871619999</v>
      </c>
      <c r="AA5" s="8">
        <v>0</v>
      </c>
      <c r="AB5" s="8">
        <v>0</v>
      </c>
      <c r="AC5" s="8">
        <v>0</v>
      </c>
      <c r="AD5" s="11">
        <v>46474855.439620003</v>
      </c>
      <c r="AE5" s="14">
        <v>0.51756820077387677</v>
      </c>
    </row>
    <row r="6" spans="1:31" ht="11.85" customHeight="1" x14ac:dyDescent="0.2">
      <c r="A6" s="23">
        <v>5</v>
      </c>
      <c r="B6" s="13">
        <v>30643</v>
      </c>
      <c r="C6" s="13">
        <v>25334</v>
      </c>
      <c r="D6" s="12" t="s">
        <v>35</v>
      </c>
      <c r="E6" s="9">
        <v>0</v>
      </c>
      <c r="F6" s="9">
        <v>8238050</v>
      </c>
      <c r="G6" s="9">
        <v>13100000</v>
      </c>
      <c r="H6" s="9">
        <v>10100000</v>
      </c>
      <c r="I6" s="9">
        <v>53277827</v>
      </c>
      <c r="J6" s="10">
        <v>8043593</v>
      </c>
      <c r="K6" s="9">
        <v>0</v>
      </c>
      <c r="L6" s="9">
        <v>4133467</v>
      </c>
      <c r="M6" s="9">
        <v>80056045</v>
      </c>
      <c r="N6" s="9">
        <v>0</v>
      </c>
      <c r="O6" s="9">
        <v>0</v>
      </c>
      <c r="P6" s="9">
        <v>0</v>
      </c>
      <c r="Q6" s="9">
        <v>176948982</v>
      </c>
      <c r="R6" s="8">
        <v>0</v>
      </c>
      <c r="S6" s="8">
        <v>5598500</v>
      </c>
      <c r="T6" s="8">
        <v>31527272</v>
      </c>
      <c r="U6" s="8">
        <v>18115454</v>
      </c>
      <c r="V6" s="8">
        <v>56504085.600000001</v>
      </c>
      <c r="W6" s="8">
        <v>2775461.2398000001</v>
      </c>
      <c r="X6" s="8">
        <v>0</v>
      </c>
      <c r="Y6" s="8">
        <v>24059867</v>
      </c>
      <c r="Z6" s="8">
        <v>16723685.4114</v>
      </c>
      <c r="AA6" s="8">
        <v>0</v>
      </c>
      <c r="AB6" s="8">
        <v>0</v>
      </c>
      <c r="AC6" s="8">
        <v>0</v>
      </c>
      <c r="AD6" s="11">
        <v>155304325.25119999</v>
      </c>
      <c r="AE6" s="18">
        <v>0.87767854607493578</v>
      </c>
    </row>
    <row r="7" spans="1:31" ht="11.85" customHeight="1" x14ac:dyDescent="0.2">
      <c r="A7" s="23">
        <v>6</v>
      </c>
      <c r="B7" s="16">
        <v>30728</v>
      </c>
      <c r="C7" s="16">
        <v>25448</v>
      </c>
      <c r="D7" s="15" t="s">
        <v>36</v>
      </c>
      <c r="E7" s="9">
        <v>5053000</v>
      </c>
      <c r="F7" s="9">
        <v>9817500</v>
      </c>
      <c r="G7" s="9">
        <v>0</v>
      </c>
      <c r="H7" s="9">
        <v>0</v>
      </c>
      <c r="I7" s="9">
        <v>19635000</v>
      </c>
      <c r="J7" s="10">
        <v>0</v>
      </c>
      <c r="K7" s="9">
        <v>0</v>
      </c>
      <c r="L7" s="9">
        <v>10799250</v>
      </c>
      <c r="M7" s="9">
        <v>11257400</v>
      </c>
      <c r="N7" s="9">
        <v>0</v>
      </c>
      <c r="O7" s="9">
        <v>0</v>
      </c>
      <c r="P7" s="9">
        <v>0</v>
      </c>
      <c r="Q7" s="9">
        <v>56562150</v>
      </c>
      <c r="R7" s="8">
        <v>9893392.2100000009</v>
      </c>
      <c r="S7" s="8">
        <v>7763228</v>
      </c>
      <c r="T7" s="8">
        <v>0</v>
      </c>
      <c r="U7" s="8">
        <v>0</v>
      </c>
      <c r="V7" s="8">
        <v>26530084.699999999</v>
      </c>
      <c r="W7" s="8">
        <v>3788521.7649300001</v>
      </c>
      <c r="X7" s="8">
        <v>0</v>
      </c>
      <c r="Y7" s="8">
        <v>8619904</v>
      </c>
      <c r="Z7" s="8">
        <v>5079355.2248499999</v>
      </c>
      <c r="AA7" s="8">
        <v>0</v>
      </c>
      <c r="AB7" s="8">
        <v>0</v>
      </c>
      <c r="AC7" s="8">
        <v>0</v>
      </c>
      <c r="AD7" s="11">
        <v>61674485.899779998</v>
      </c>
      <c r="AE7" s="19">
        <v>1.0903843983968078</v>
      </c>
    </row>
    <row r="8" spans="1:31" ht="11.85" customHeight="1" x14ac:dyDescent="0.2">
      <c r="A8" s="23">
        <v>7</v>
      </c>
      <c r="B8" s="16">
        <v>30903</v>
      </c>
      <c r="C8" s="16">
        <v>25436</v>
      </c>
      <c r="D8" s="15" t="s">
        <v>37</v>
      </c>
      <c r="E8" s="9">
        <v>164061235</v>
      </c>
      <c r="F8" s="9">
        <v>12280800</v>
      </c>
      <c r="G8" s="9">
        <v>24600000</v>
      </c>
      <c r="H8" s="9">
        <v>174080000</v>
      </c>
      <c r="I8" s="9">
        <v>122808000</v>
      </c>
      <c r="J8" s="10">
        <v>18421200</v>
      </c>
      <c r="K8" s="9">
        <v>0</v>
      </c>
      <c r="L8" s="9">
        <v>0</v>
      </c>
      <c r="M8" s="9">
        <v>210000000</v>
      </c>
      <c r="N8" s="9">
        <v>65520368</v>
      </c>
      <c r="O8" s="9">
        <v>45062981</v>
      </c>
      <c r="P8" s="9">
        <v>48960032</v>
      </c>
      <c r="Q8" s="9">
        <v>885794616</v>
      </c>
      <c r="R8" s="8">
        <v>5425010.2599999998</v>
      </c>
      <c r="S8" s="8">
        <v>11531091</v>
      </c>
      <c r="T8" s="8">
        <v>63490911</v>
      </c>
      <c r="U8" s="8">
        <v>57899545</v>
      </c>
      <c r="V8" s="8">
        <v>71413931.200000003</v>
      </c>
      <c r="W8" s="8">
        <v>19918600.564860001</v>
      </c>
      <c r="X8" s="8">
        <v>0</v>
      </c>
      <c r="Y8" s="8">
        <v>121677995.25</v>
      </c>
      <c r="Z8" s="8">
        <v>103057458.81196</v>
      </c>
      <c r="AA8" s="8">
        <v>0</v>
      </c>
      <c r="AB8" s="8">
        <v>0</v>
      </c>
      <c r="AC8" s="8">
        <v>0</v>
      </c>
      <c r="AD8" s="11">
        <v>454414543.08682001</v>
      </c>
      <c r="AE8" s="14">
        <v>0.62569882319968795</v>
      </c>
    </row>
    <row r="9" spans="1:31" ht="11.85" customHeight="1" x14ac:dyDescent="0.2">
      <c r="A9" s="23">
        <v>8</v>
      </c>
      <c r="B9" s="13">
        <v>30936</v>
      </c>
      <c r="C9" s="13">
        <v>25322</v>
      </c>
      <c r="D9" s="12" t="s">
        <v>38</v>
      </c>
      <c r="E9" s="9">
        <v>99673120</v>
      </c>
      <c r="F9" s="9">
        <v>8780940</v>
      </c>
      <c r="G9" s="9">
        <v>0</v>
      </c>
      <c r="H9" s="9">
        <v>0</v>
      </c>
      <c r="I9" s="9">
        <v>21940810</v>
      </c>
      <c r="J9" s="10">
        <v>1462730</v>
      </c>
      <c r="K9" s="9">
        <v>0</v>
      </c>
      <c r="L9" s="9">
        <v>3656791</v>
      </c>
      <c r="M9" s="9">
        <v>38794569</v>
      </c>
      <c r="N9" s="9">
        <v>25604412</v>
      </c>
      <c r="O9" s="9">
        <v>0</v>
      </c>
      <c r="P9" s="9">
        <v>0</v>
      </c>
      <c r="Q9" s="9">
        <v>199913372</v>
      </c>
      <c r="R9" s="8">
        <v>108757918.93000001</v>
      </c>
      <c r="S9" s="8">
        <v>0</v>
      </c>
      <c r="T9" s="8">
        <v>1272727</v>
      </c>
      <c r="U9" s="8">
        <v>0</v>
      </c>
      <c r="V9" s="8">
        <v>17999417.699999999</v>
      </c>
      <c r="W9" s="8">
        <v>5878353.5023999996</v>
      </c>
      <c r="X9" s="8">
        <v>0</v>
      </c>
      <c r="Y9" s="8">
        <v>15459256</v>
      </c>
      <c r="Z9" s="8">
        <v>9873852.5336000007</v>
      </c>
      <c r="AA9" s="8">
        <v>0</v>
      </c>
      <c r="AB9" s="8">
        <v>0</v>
      </c>
      <c r="AC9" s="8">
        <v>0</v>
      </c>
      <c r="AD9" s="11">
        <v>159241525.66600001</v>
      </c>
      <c r="AE9" s="18">
        <v>0.91355903716022402</v>
      </c>
    </row>
    <row r="10" spans="1:31" ht="11.85" customHeight="1" x14ac:dyDescent="0.2">
      <c r="A10" s="23">
        <v>9</v>
      </c>
      <c r="B10" s="13">
        <v>30980</v>
      </c>
      <c r="C10" s="13">
        <v>25336</v>
      </c>
      <c r="D10" s="12" t="s">
        <v>39</v>
      </c>
      <c r="E10" s="9">
        <v>55303680</v>
      </c>
      <c r="F10" s="9">
        <v>8950000</v>
      </c>
      <c r="G10" s="9">
        <v>43550000</v>
      </c>
      <c r="H10" s="9">
        <v>0</v>
      </c>
      <c r="I10" s="9">
        <v>70560000</v>
      </c>
      <c r="J10" s="10">
        <v>12192000</v>
      </c>
      <c r="K10" s="9">
        <v>0</v>
      </c>
      <c r="L10" s="9">
        <v>22750000</v>
      </c>
      <c r="M10" s="9">
        <v>55246248</v>
      </c>
      <c r="N10" s="9">
        <v>7776000</v>
      </c>
      <c r="O10" s="9">
        <v>25000000</v>
      </c>
      <c r="P10" s="9">
        <v>48528666</v>
      </c>
      <c r="Q10" s="9">
        <v>349856594</v>
      </c>
      <c r="R10" s="8">
        <v>47060663.340000004</v>
      </c>
      <c r="S10" s="8">
        <v>9005591</v>
      </c>
      <c r="T10" s="8">
        <v>45136363</v>
      </c>
      <c r="U10" s="8">
        <v>28047466</v>
      </c>
      <c r="V10" s="8">
        <v>59846992.689999998</v>
      </c>
      <c r="W10" s="8">
        <v>8972406.5908000004</v>
      </c>
      <c r="X10" s="8">
        <v>0</v>
      </c>
      <c r="Y10" s="8">
        <v>53844059</v>
      </c>
      <c r="Z10" s="8">
        <v>19659215.158500001</v>
      </c>
      <c r="AA10" s="8">
        <v>0</v>
      </c>
      <c r="AB10" s="8">
        <v>0</v>
      </c>
      <c r="AC10" s="8">
        <v>0</v>
      </c>
      <c r="AD10" s="11">
        <v>271572756.77929997</v>
      </c>
      <c r="AE10" s="19">
        <v>1.011248583474329</v>
      </c>
    </row>
    <row r="11" spans="1:31" ht="11.85" customHeight="1" x14ac:dyDescent="0.2">
      <c r="A11" s="23">
        <v>10</v>
      </c>
      <c r="B11" s="16">
        <v>30984</v>
      </c>
      <c r="C11" s="16">
        <v>25472</v>
      </c>
      <c r="D11" s="15" t="s">
        <v>40</v>
      </c>
      <c r="E11" s="9">
        <v>73605399</v>
      </c>
      <c r="F11" s="9">
        <v>1740690</v>
      </c>
      <c r="G11" s="9">
        <v>11604600</v>
      </c>
      <c r="H11" s="9">
        <v>0</v>
      </c>
      <c r="I11" s="9">
        <v>10882536</v>
      </c>
      <c r="J11" s="10">
        <v>1740690</v>
      </c>
      <c r="K11" s="9">
        <v>0</v>
      </c>
      <c r="L11" s="9">
        <v>773640</v>
      </c>
      <c r="M11" s="9">
        <v>24917655</v>
      </c>
      <c r="N11" s="9">
        <v>10908324</v>
      </c>
      <c r="O11" s="9">
        <v>0</v>
      </c>
      <c r="P11" s="9">
        <v>0</v>
      </c>
      <c r="Q11" s="9">
        <v>136173534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13930701.599889999</v>
      </c>
      <c r="AA11" s="8">
        <v>0</v>
      </c>
      <c r="AB11" s="8">
        <v>0</v>
      </c>
      <c r="AC11" s="8">
        <v>0</v>
      </c>
      <c r="AD11" s="11">
        <v>13930701.599889999</v>
      </c>
      <c r="AE11" s="14">
        <v>0.11120966148454145</v>
      </c>
    </row>
    <row r="12" spans="1:31" ht="11.85" customHeight="1" x14ac:dyDescent="0.2">
      <c r="A12" s="23">
        <v>11</v>
      </c>
      <c r="B12" s="13">
        <v>31182</v>
      </c>
      <c r="C12" s="13">
        <v>25437</v>
      </c>
      <c r="D12" s="12" t="s">
        <v>41</v>
      </c>
      <c r="E12" s="9">
        <v>0</v>
      </c>
      <c r="F12" s="9">
        <v>6131011</v>
      </c>
      <c r="G12" s="9">
        <v>0</v>
      </c>
      <c r="H12" s="9">
        <v>88000000</v>
      </c>
      <c r="I12" s="9">
        <v>122616158</v>
      </c>
      <c r="J12" s="10">
        <v>16348821</v>
      </c>
      <c r="K12" s="9">
        <v>0</v>
      </c>
      <c r="L12" s="9">
        <v>0</v>
      </c>
      <c r="M12" s="9">
        <v>85363065</v>
      </c>
      <c r="N12" s="9">
        <v>64022299</v>
      </c>
      <c r="O12" s="9">
        <v>0</v>
      </c>
      <c r="P12" s="9">
        <v>0</v>
      </c>
      <c r="Q12" s="9">
        <v>382481354</v>
      </c>
      <c r="R12" s="8">
        <v>0</v>
      </c>
      <c r="S12" s="8">
        <v>1510500</v>
      </c>
      <c r="T12" s="8">
        <v>818181</v>
      </c>
      <c r="U12" s="8">
        <v>72451816</v>
      </c>
      <c r="V12" s="8">
        <v>93744732.430000007</v>
      </c>
      <c r="W12" s="8">
        <v>20498413.518800002</v>
      </c>
      <c r="X12" s="8">
        <v>0</v>
      </c>
      <c r="Y12" s="8">
        <v>181114364.25</v>
      </c>
      <c r="Z12" s="8">
        <v>51633222.14322</v>
      </c>
      <c r="AA12" s="8">
        <v>0</v>
      </c>
      <c r="AB12" s="8">
        <v>0</v>
      </c>
      <c r="AC12" s="8">
        <v>0</v>
      </c>
      <c r="AD12" s="11">
        <v>421771229.34201998</v>
      </c>
      <c r="AE12" s="19">
        <v>1.3244127391573774</v>
      </c>
    </row>
    <row r="13" spans="1:31" ht="11.85" customHeight="1" x14ac:dyDescent="0.2">
      <c r="A13" s="23">
        <v>12</v>
      </c>
      <c r="B13" s="16">
        <v>31183</v>
      </c>
      <c r="C13" s="16">
        <v>25535</v>
      </c>
      <c r="D13" s="15" t="s">
        <v>42</v>
      </c>
      <c r="E13" s="9">
        <v>0</v>
      </c>
      <c r="F13" s="9">
        <v>12931384</v>
      </c>
      <c r="G13" s="9">
        <v>0</v>
      </c>
      <c r="H13" s="9">
        <v>90000000</v>
      </c>
      <c r="I13" s="9">
        <v>84483200</v>
      </c>
      <c r="J13" s="10">
        <v>12448320</v>
      </c>
      <c r="K13" s="9">
        <v>0</v>
      </c>
      <c r="L13" s="9">
        <v>0</v>
      </c>
      <c r="M13" s="9">
        <v>98063252</v>
      </c>
      <c r="N13" s="9">
        <v>0</v>
      </c>
      <c r="O13" s="9">
        <v>0</v>
      </c>
      <c r="P13" s="9">
        <v>0</v>
      </c>
      <c r="Q13" s="9">
        <v>297926156</v>
      </c>
      <c r="R13" s="8">
        <v>0</v>
      </c>
      <c r="S13" s="8">
        <v>1048000</v>
      </c>
      <c r="T13" s="8">
        <v>1454545</v>
      </c>
      <c r="U13" s="8">
        <v>0</v>
      </c>
      <c r="V13" s="8">
        <v>0</v>
      </c>
      <c r="W13" s="8">
        <v>0</v>
      </c>
      <c r="X13" s="8">
        <v>0</v>
      </c>
      <c r="Y13" s="8">
        <v>42636363.5</v>
      </c>
      <c r="Z13" s="8">
        <v>17495171.987380002</v>
      </c>
      <c r="AA13" s="8">
        <v>0</v>
      </c>
      <c r="AB13" s="8">
        <v>0</v>
      </c>
      <c r="AC13" s="8">
        <v>0</v>
      </c>
      <c r="AD13" s="11">
        <v>62634080.487379998</v>
      </c>
      <c r="AE13" s="14">
        <v>0.21023357374295124</v>
      </c>
    </row>
    <row r="14" spans="1:31" ht="11.85" customHeight="1" x14ac:dyDescent="0.2">
      <c r="A14" s="23">
        <v>13</v>
      </c>
      <c r="B14" s="13">
        <v>31184</v>
      </c>
      <c r="C14" s="13">
        <v>25536</v>
      </c>
      <c r="D14" s="12" t="s">
        <v>43</v>
      </c>
      <c r="E14" s="9">
        <v>0</v>
      </c>
      <c r="F14" s="9">
        <v>12931384</v>
      </c>
      <c r="G14" s="9">
        <v>0</v>
      </c>
      <c r="H14" s="9">
        <v>90000000</v>
      </c>
      <c r="I14" s="9">
        <v>84483200</v>
      </c>
      <c r="J14" s="10">
        <v>12448320</v>
      </c>
      <c r="K14" s="9">
        <v>0</v>
      </c>
      <c r="L14" s="9">
        <v>0</v>
      </c>
      <c r="M14" s="9">
        <v>98063252</v>
      </c>
      <c r="N14" s="9">
        <v>0</v>
      </c>
      <c r="O14" s="9">
        <v>0</v>
      </c>
      <c r="P14" s="9">
        <v>0</v>
      </c>
      <c r="Q14" s="9">
        <v>297926156</v>
      </c>
      <c r="R14" s="8">
        <v>0</v>
      </c>
      <c r="S14" s="8">
        <v>900000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120000</v>
      </c>
      <c r="Z14" s="8">
        <v>17495171.987380002</v>
      </c>
      <c r="AA14" s="8">
        <v>0</v>
      </c>
      <c r="AB14" s="8">
        <v>0</v>
      </c>
      <c r="AC14" s="8">
        <v>0</v>
      </c>
      <c r="AD14" s="11">
        <v>18515171.987380002</v>
      </c>
      <c r="AE14" s="14">
        <v>6.2146849527974987E-2</v>
      </c>
    </row>
    <row r="15" spans="1:31" ht="11.85" customHeight="1" x14ac:dyDescent="0.2">
      <c r="A15" s="23">
        <v>14</v>
      </c>
      <c r="B15" s="16">
        <v>31185</v>
      </c>
      <c r="C15" s="16">
        <v>25537</v>
      </c>
      <c r="D15" s="15" t="s">
        <v>44</v>
      </c>
      <c r="E15" s="9">
        <v>0</v>
      </c>
      <c r="F15" s="9">
        <v>12931384</v>
      </c>
      <c r="G15" s="9">
        <v>0</v>
      </c>
      <c r="H15" s="9">
        <v>90000000</v>
      </c>
      <c r="I15" s="9">
        <v>84483200</v>
      </c>
      <c r="J15" s="10">
        <v>12448320</v>
      </c>
      <c r="K15" s="9">
        <v>0</v>
      </c>
      <c r="L15" s="9">
        <v>0</v>
      </c>
      <c r="M15" s="9">
        <v>98063252</v>
      </c>
      <c r="N15" s="9">
        <v>0</v>
      </c>
      <c r="O15" s="9">
        <v>0</v>
      </c>
      <c r="P15" s="9">
        <v>0</v>
      </c>
      <c r="Q15" s="9">
        <v>297926156</v>
      </c>
      <c r="R15" s="8">
        <v>0</v>
      </c>
      <c r="S15" s="8">
        <v>301500</v>
      </c>
      <c r="T15" s="8">
        <v>0</v>
      </c>
      <c r="U15" s="8">
        <v>0</v>
      </c>
      <c r="V15" s="8">
        <v>0</v>
      </c>
      <c r="W15" s="8">
        <v>2532190.898</v>
      </c>
      <c r="X15" s="8">
        <v>0</v>
      </c>
      <c r="Y15" s="8">
        <v>35454546.5</v>
      </c>
      <c r="Z15" s="8">
        <v>17495171.987380002</v>
      </c>
      <c r="AA15" s="8">
        <v>0</v>
      </c>
      <c r="AB15" s="8">
        <v>0</v>
      </c>
      <c r="AC15" s="8">
        <v>0</v>
      </c>
      <c r="AD15" s="11">
        <v>55783409.38538</v>
      </c>
      <c r="AE15" s="14">
        <v>0.18723904652863041</v>
      </c>
    </row>
    <row r="16" spans="1:31" ht="11.85" customHeight="1" x14ac:dyDescent="0.2">
      <c r="A16" s="23">
        <v>15</v>
      </c>
      <c r="B16" s="13">
        <v>31186</v>
      </c>
      <c r="C16" s="13">
        <v>25317</v>
      </c>
      <c r="D16" s="12" t="s">
        <v>45</v>
      </c>
      <c r="E16" s="9">
        <v>0</v>
      </c>
      <c r="F16" s="9">
        <v>0</v>
      </c>
      <c r="G16" s="9">
        <v>0</v>
      </c>
      <c r="H16" s="9">
        <v>0</v>
      </c>
      <c r="I16" s="9">
        <v>5850000</v>
      </c>
      <c r="J16" s="10">
        <v>850000</v>
      </c>
      <c r="K16" s="9">
        <v>0</v>
      </c>
      <c r="L16" s="9">
        <v>350000</v>
      </c>
      <c r="M16" s="9">
        <v>1914000</v>
      </c>
      <c r="N16" s="9">
        <v>0</v>
      </c>
      <c r="O16" s="9">
        <v>0</v>
      </c>
      <c r="P16" s="9">
        <v>0</v>
      </c>
      <c r="Q16" s="9">
        <v>8964000</v>
      </c>
      <c r="R16" s="8">
        <v>0</v>
      </c>
      <c r="S16" s="8">
        <v>417000</v>
      </c>
      <c r="T16" s="8">
        <v>0</v>
      </c>
      <c r="U16" s="8">
        <v>0</v>
      </c>
      <c r="V16" s="8">
        <v>11124074.699999999</v>
      </c>
      <c r="W16" s="8">
        <v>1051041.0495</v>
      </c>
      <c r="X16" s="8">
        <v>0</v>
      </c>
      <c r="Y16" s="8">
        <v>0</v>
      </c>
      <c r="Z16" s="8">
        <v>487411.44182000001</v>
      </c>
      <c r="AA16" s="8">
        <v>0</v>
      </c>
      <c r="AB16" s="8">
        <v>0</v>
      </c>
      <c r="AC16" s="8">
        <v>0</v>
      </c>
      <c r="AD16" s="11">
        <v>13079527.19132</v>
      </c>
      <c r="AE16" s="19">
        <v>1.4591172681079876</v>
      </c>
    </row>
    <row r="17" spans="1:31" ht="11.85" customHeight="1" x14ac:dyDescent="0.2">
      <c r="A17" s="23">
        <v>16</v>
      </c>
      <c r="B17" s="16">
        <v>31195</v>
      </c>
      <c r="C17" s="16">
        <v>25507</v>
      </c>
      <c r="D17" s="15" t="s">
        <v>46</v>
      </c>
      <c r="E17" s="9">
        <v>4908046</v>
      </c>
      <c r="F17" s="9">
        <v>0</v>
      </c>
      <c r="G17" s="9">
        <v>0</v>
      </c>
      <c r="H17" s="9">
        <v>0</v>
      </c>
      <c r="I17" s="9">
        <v>0</v>
      </c>
      <c r="J17" s="10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4908046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112748.90272</v>
      </c>
      <c r="AA17" s="8">
        <v>0</v>
      </c>
      <c r="AB17" s="8">
        <v>0</v>
      </c>
      <c r="AC17" s="8">
        <v>0</v>
      </c>
      <c r="AD17" s="11">
        <v>112748.90272</v>
      </c>
      <c r="AE17" s="14">
        <v>2.2972258760410966E-2</v>
      </c>
    </row>
    <row r="18" spans="1:31" ht="11.85" customHeight="1" x14ac:dyDescent="0.2">
      <c r="A18" s="23">
        <v>17</v>
      </c>
      <c r="B18" s="13">
        <v>31207</v>
      </c>
      <c r="C18" s="13">
        <v>25550</v>
      </c>
      <c r="D18" s="12" t="s">
        <v>47</v>
      </c>
      <c r="E18" s="9">
        <v>0</v>
      </c>
      <c r="F18" s="9">
        <v>803682</v>
      </c>
      <c r="G18" s="9">
        <v>0</v>
      </c>
      <c r="H18" s="9">
        <v>0</v>
      </c>
      <c r="I18" s="9">
        <v>5227200</v>
      </c>
      <c r="J18" s="10">
        <v>980100</v>
      </c>
      <c r="K18" s="9">
        <v>0</v>
      </c>
      <c r="L18" s="9">
        <v>1633500</v>
      </c>
      <c r="M18" s="9">
        <v>1515888</v>
      </c>
      <c r="N18" s="9">
        <v>0</v>
      </c>
      <c r="O18" s="9">
        <v>0</v>
      </c>
      <c r="P18" s="9">
        <v>0</v>
      </c>
      <c r="Q18" s="9">
        <v>10160370</v>
      </c>
      <c r="R18" s="8">
        <v>0</v>
      </c>
      <c r="S18" s="8">
        <v>198000</v>
      </c>
      <c r="T18" s="8">
        <v>0</v>
      </c>
      <c r="U18" s="8">
        <v>0</v>
      </c>
      <c r="V18" s="8">
        <v>642732.1</v>
      </c>
      <c r="W18" s="8">
        <v>1201412.32345</v>
      </c>
      <c r="X18" s="8">
        <v>0</v>
      </c>
      <c r="Y18" s="8">
        <v>1147273</v>
      </c>
      <c r="Z18" s="8">
        <v>340480.82192999998</v>
      </c>
      <c r="AA18" s="8">
        <v>0</v>
      </c>
      <c r="AB18" s="8">
        <v>0</v>
      </c>
      <c r="AC18" s="8">
        <v>0</v>
      </c>
      <c r="AD18" s="11">
        <v>3529898.2453800002</v>
      </c>
      <c r="AE18" s="14">
        <v>0.34741827761981114</v>
      </c>
    </row>
    <row r="19" spans="1:31" ht="11.85" customHeight="1" x14ac:dyDescent="0.2">
      <c r="A19" s="23">
        <v>18</v>
      </c>
      <c r="B19" s="13">
        <v>31232</v>
      </c>
      <c r="C19" s="13">
        <v>25466</v>
      </c>
      <c r="D19" s="12" t="s">
        <v>48</v>
      </c>
      <c r="E19" s="9">
        <v>9749669</v>
      </c>
      <c r="F19" s="9">
        <v>965250</v>
      </c>
      <c r="G19" s="9">
        <v>0</v>
      </c>
      <c r="H19" s="9">
        <v>0</v>
      </c>
      <c r="I19" s="9">
        <v>8709773</v>
      </c>
      <c r="J19" s="10">
        <v>900900</v>
      </c>
      <c r="K19" s="9">
        <v>0</v>
      </c>
      <c r="L19" s="9">
        <v>0</v>
      </c>
      <c r="M19" s="9">
        <v>3564990</v>
      </c>
      <c r="N19" s="9">
        <v>0</v>
      </c>
      <c r="O19" s="9">
        <v>0</v>
      </c>
      <c r="P19" s="9">
        <v>0</v>
      </c>
      <c r="Q19" s="9">
        <v>23890582</v>
      </c>
      <c r="R19" s="8">
        <v>4901129.3899999997</v>
      </c>
      <c r="S19" s="8">
        <v>801000</v>
      </c>
      <c r="T19" s="8">
        <v>0</v>
      </c>
      <c r="U19" s="8">
        <v>0</v>
      </c>
      <c r="V19" s="8">
        <v>17264928.23</v>
      </c>
      <c r="W19" s="8">
        <v>1126652.682</v>
      </c>
      <c r="X19" s="8">
        <v>0</v>
      </c>
      <c r="Y19" s="8">
        <v>0</v>
      </c>
      <c r="Z19" s="8">
        <v>4446303.8393000001</v>
      </c>
      <c r="AA19" s="8">
        <v>0</v>
      </c>
      <c r="AB19" s="8">
        <v>0</v>
      </c>
      <c r="AC19" s="8">
        <v>0</v>
      </c>
      <c r="AD19" s="11">
        <v>28540014.1413</v>
      </c>
      <c r="AE19" s="19">
        <v>1.1946135988357254</v>
      </c>
    </row>
    <row r="20" spans="1:31" ht="11.85" customHeight="1" x14ac:dyDescent="0.2">
      <c r="A20" s="23">
        <v>19</v>
      </c>
      <c r="B20" s="16">
        <v>31242</v>
      </c>
      <c r="C20" s="16">
        <v>25323</v>
      </c>
      <c r="D20" s="15" t="s">
        <v>49</v>
      </c>
      <c r="E20" s="9">
        <v>60469272</v>
      </c>
      <c r="F20" s="9">
        <v>6316738</v>
      </c>
      <c r="G20" s="9">
        <v>2645200</v>
      </c>
      <c r="H20" s="9">
        <v>0</v>
      </c>
      <c r="I20" s="9">
        <v>25393920</v>
      </c>
      <c r="J20" s="10">
        <v>10310990</v>
      </c>
      <c r="K20" s="9">
        <v>0</v>
      </c>
      <c r="L20" s="9">
        <v>2631974</v>
      </c>
      <c r="M20" s="9">
        <v>13946817</v>
      </c>
      <c r="N20" s="9">
        <v>8897527</v>
      </c>
      <c r="O20" s="9">
        <v>0</v>
      </c>
      <c r="P20" s="9">
        <v>0</v>
      </c>
      <c r="Q20" s="9">
        <v>130612438</v>
      </c>
      <c r="R20" s="8">
        <v>49373280</v>
      </c>
      <c r="S20" s="8">
        <v>1509000</v>
      </c>
      <c r="T20" s="8">
        <v>1136364</v>
      </c>
      <c r="U20" s="8">
        <v>0</v>
      </c>
      <c r="V20" s="8">
        <v>16026482.199999999</v>
      </c>
      <c r="W20" s="8">
        <v>3189634.6855000001</v>
      </c>
      <c r="X20" s="8">
        <v>0</v>
      </c>
      <c r="Y20" s="8">
        <v>7714996</v>
      </c>
      <c r="Z20" s="8">
        <v>6579583.5250899997</v>
      </c>
      <c r="AA20" s="8">
        <v>0</v>
      </c>
      <c r="AB20" s="8">
        <v>0</v>
      </c>
      <c r="AC20" s="8">
        <v>0</v>
      </c>
      <c r="AD20" s="11">
        <v>85529340.410589993</v>
      </c>
      <c r="AE20" s="14">
        <v>0.70270223843477964</v>
      </c>
    </row>
    <row r="21" spans="1:31" ht="11.85" customHeight="1" x14ac:dyDescent="0.2">
      <c r="A21" s="23">
        <v>20</v>
      </c>
      <c r="B21" s="13">
        <v>31245</v>
      </c>
      <c r="C21" s="13">
        <v>25314</v>
      </c>
      <c r="D21" s="12" t="s">
        <v>50</v>
      </c>
      <c r="E21" s="9">
        <v>0</v>
      </c>
      <c r="F21" s="9">
        <v>350000</v>
      </c>
      <c r="G21" s="9">
        <v>0</v>
      </c>
      <c r="H21" s="9">
        <v>0</v>
      </c>
      <c r="I21" s="9">
        <v>2050000</v>
      </c>
      <c r="J21" s="10">
        <v>350000</v>
      </c>
      <c r="K21" s="9">
        <v>0</v>
      </c>
      <c r="L21" s="9">
        <v>125000</v>
      </c>
      <c r="M21" s="9">
        <v>1975000</v>
      </c>
      <c r="N21" s="9">
        <v>1185000</v>
      </c>
      <c r="O21" s="9">
        <v>0</v>
      </c>
      <c r="P21" s="9">
        <v>0</v>
      </c>
      <c r="Q21" s="9">
        <v>6035000</v>
      </c>
      <c r="R21" s="8">
        <v>0</v>
      </c>
      <c r="S21" s="8">
        <v>0</v>
      </c>
      <c r="T21" s="8">
        <v>0</v>
      </c>
      <c r="U21" s="8">
        <v>0</v>
      </c>
      <c r="V21" s="8">
        <v>112756.8</v>
      </c>
      <c r="W21" s="8">
        <v>0</v>
      </c>
      <c r="X21" s="8">
        <v>0</v>
      </c>
      <c r="Y21" s="8">
        <v>0</v>
      </c>
      <c r="Z21" s="8">
        <v>502686.50591000001</v>
      </c>
      <c r="AA21" s="8">
        <v>0</v>
      </c>
      <c r="AB21" s="8">
        <v>0</v>
      </c>
      <c r="AC21" s="8">
        <v>0</v>
      </c>
      <c r="AD21" s="11">
        <v>615443.30591</v>
      </c>
      <c r="AE21" s="14">
        <v>0.12689552699175258</v>
      </c>
    </row>
    <row r="22" spans="1:31" ht="11.85" customHeight="1" x14ac:dyDescent="0.2">
      <c r="A22" s="23">
        <v>21</v>
      </c>
      <c r="B22" s="13">
        <v>31297</v>
      </c>
      <c r="C22" s="13">
        <v>25325</v>
      </c>
      <c r="D22" s="12" t="s">
        <v>51</v>
      </c>
      <c r="E22" s="9">
        <v>0</v>
      </c>
      <c r="F22" s="9">
        <v>200000</v>
      </c>
      <c r="G22" s="9">
        <v>0</v>
      </c>
      <c r="H22" s="9">
        <v>0</v>
      </c>
      <c r="I22" s="9">
        <v>1350000</v>
      </c>
      <c r="J22" s="10">
        <v>100000</v>
      </c>
      <c r="K22" s="9">
        <v>0</v>
      </c>
      <c r="L22" s="9">
        <v>0</v>
      </c>
      <c r="M22" s="9">
        <v>230000</v>
      </c>
      <c r="N22" s="9">
        <v>360000</v>
      </c>
      <c r="O22" s="9">
        <v>0</v>
      </c>
      <c r="P22" s="9">
        <v>0</v>
      </c>
      <c r="Q22" s="9">
        <v>2240000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1406666</v>
      </c>
      <c r="Z22" s="8">
        <v>114525.77635</v>
      </c>
      <c r="AA22" s="8">
        <v>0</v>
      </c>
      <c r="AB22" s="8">
        <v>0</v>
      </c>
      <c r="AC22" s="8">
        <v>0</v>
      </c>
      <c r="AD22" s="11">
        <v>1521191.7763499999</v>
      </c>
      <c r="AE22" s="18">
        <v>0.80914456188829786</v>
      </c>
    </row>
    <row r="23" spans="1:31" ht="11.85" customHeight="1" x14ac:dyDescent="0.2">
      <c r="A23" s="23">
        <v>22</v>
      </c>
      <c r="B23" s="13">
        <v>31313</v>
      </c>
      <c r="C23" s="13">
        <v>25337</v>
      </c>
      <c r="D23" s="12" t="s">
        <v>52</v>
      </c>
      <c r="E23" s="9">
        <v>193655000</v>
      </c>
      <c r="F23" s="9">
        <v>6800000</v>
      </c>
      <c r="G23" s="9">
        <v>18000000</v>
      </c>
      <c r="H23" s="9">
        <v>10000000</v>
      </c>
      <c r="I23" s="9">
        <v>51212000</v>
      </c>
      <c r="J23" s="10">
        <v>7792000</v>
      </c>
      <c r="K23" s="9">
        <v>0</v>
      </c>
      <c r="L23" s="9">
        <v>2500000</v>
      </c>
      <c r="M23" s="9">
        <v>103361096</v>
      </c>
      <c r="N23" s="9">
        <v>32528241</v>
      </c>
      <c r="O23" s="9">
        <v>0</v>
      </c>
      <c r="P23" s="9">
        <v>0</v>
      </c>
      <c r="Q23" s="9">
        <v>425848337</v>
      </c>
      <c r="R23" s="8">
        <v>166874451.62</v>
      </c>
      <c r="S23" s="8">
        <v>4645500</v>
      </c>
      <c r="T23" s="8">
        <v>8318182</v>
      </c>
      <c r="U23" s="8">
        <v>0</v>
      </c>
      <c r="V23" s="8">
        <v>0</v>
      </c>
      <c r="W23" s="8">
        <v>5408718.7114000004</v>
      </c>
      <c r="X23" s="8">
        <v>0</v>
      </c>
      <c r="Y23" s="8">
        <v>79036364</v>
      </c>
      <c r="Z23" s="8">
        <v>19588068.954539999</v>
      </c>
      <c r="AA23" s="8">
        <v>0</v>
      </c>
      <c r="AB23" s="8">
        <v>0</v>
      </c>
      <c r="AC23" s="8">
        <v>0</v>
      </c>
      <c r="AD23" s="11">
        <v>283871285.28593999</v>
      </c>
      <c r="AE23" s="14">
        <v>0.72173094681116923</v>
      </c>
    </row>
    <row r="24" spans="1:31" ht="11.85" customHeight="1" x14ac:dyDescent="0.2">
      <c r="A24" s="23">
        <v>23</v>
      </c>
      <c r="B24" s="16">
        <v>31341</v>
      </c>
      <c r="C24" s="16">
        <v>25394</v>
      </c>
      <c r="D24" s="15" t="s">
        <v>53</v>
      </c>
      <c r="E24" s="9">
        <v>0</v>
      </c>
      <c r="F24" s="9">
        <v>600000</v>
      </c>
      <c r="G24" s="9">
        <v>0</v>
      </c>
      <c r="H24" s="9">
        <v>0</v>
      </c>
      <c r="I24" s="9">
        <v>6500000</v>
      </c>
      <c r="J24" s="10">
        <v>500000</v>
      </c>
      <c r="K24" s="9">
        <v>0</v>
      </c>
      <c r="L24" s="9">
        <v>200000</v>
      </c>
      <c r="M24" s="9">
        <v>2282400</v>
      </c>
      <c r="N24" s="9">
        <v>0</v>
      </c>
      <c r="O24" s="9">
        <v>0</v>
      </c>
      <c r="P24" s="9">
        <v>0</v>
      </c>
      <c r="Q24" s="9">
        <v>10082400</v>
      </c>
      <c r="R24" s="8">
        <v>0</v>
      </c>
      <c r="S24" s="8">
        <v>805500</v>
      </c>
      <c r="T24" s="8">
        <v>0</v>
      </c>
      <c r="U24" s="8">
        <v>0</v>
      </c>
      <c r="V24" s="8">
        <v>6784543.4800000004</v>
      </c>
      <c r="W24" s="8">
        <v>1115541.2797000001</v>
      </c>
      <c r="X24" s="8">
        <v>0</v>
      </c>
      <c r="Y24" s="8">
        <v>20000</v>
      </c>
      <c r="Z24" s="8">
        <v>2645354.53896</v>
      </c>
      <c r="AA24" s="8">
        <v>0</v>
      </c>
      <c r="AB24" s="8">
        <v>0</v>
      </c>
      <c r="AC24" s="8">
        <v>0</v>
      </c>
      <c r="AD24" s="11">
        <v>11370939.298660001</v>
      </c>
      <c r="AE24" s="19">
        <v>1.1278008508549553</v>
      </c>
    </row>
    <row r="25" spans="1:31" ht="11.85" customHeight="1" x14ac:dyDescent="0.2">
      <c r="A25" s="23">
        <v>24</v>
      </c>
      <c r="B25" s="13">
        <v>31350</v>
      </c>
      <c r="C25" s="13">
        <v>25408</v>
      </c>
      <c r="D25" s="12" t="s">
        <v>54</v>
      </c>
      <c r="E25" s="9">
        <v>0</v>
      </c>
      <c r="F25" s="9">
        <v>350000</v>
      </c>
      <c r="G25" s="9">
        <v>0</v>
      </c>
      <c r="H25" s="9">
        <v>0</v>
      </c>
      <c r="I25" s="9">
        <v>448000</v>
      </c>
      <c r="J25" s="10">
        <v>2973891</v>
      </c>
      <c r="K25" s="9">
        <v>0</v>
      </c>
      <c r="L25" s="9">
        <v>0</v>
      </c>
      <c r="M25" s="9">
        <v>0</v>
      </c>
      <c r="N25" s="9">
        <v>0</v>
      </c>
      <c r="O25" s="9">
        <v>750000</v>
      </c>
      <c r="P25" s="9">
        <v>0</v>
      </c>
      <c r="Q25" s="9">
        <v>4521891</v>
      </c>
      <c r="R25" s="8">
        <v>0</v>
      </c>
      <c r="S25" s="8">
        <v>883500</v>
      </c>
      <c r="T25" s="8">
        <v>0</v>
      </c>
      <c r="U25" s="8">
        <v>0</v>
      </c>
      <c r="V25" s="8">
        <v>774746.6</v>
      </c>
      <c r="W25" s="8">
        <v>2973891.2154000001</v>
      </c>
      <c r="X25" s="8">
        <v>0</v>
      </c>
      <c r="Y25" s="8">
        <v>649091</v>
      </c>
      <c r="Z25" s="8">
        <v>368946.96030999999</v>
      </c>
      <c r="AA25" s="8">
        <v>0</v>
      </c>
      <c r="AB25" s="8">
        <v>0</v>
      </c>
      <c r="AC25" s="8">
        <v>0</v>
      </c>
      <c r="AD25" s="11">
        <v>5650175.7757099997</v>
      </c>
      <c r="AE25" s="19">
        <v>1.4979689963760883</v>
      </c>
    </row>
    <row r="26" spans="1:31" ht="11.85" customHeight="1" x14ac:dyDescent="0.2">
      <c r="A26" s="23">
        <v>25</v>
      </c>
      <c r="B26" s="16">
        <v>31356</v>
      </c>
      <c r="C26" s="16">
        <v>25620</v>
      </c>
      <c r="D26" s="15" t="s">
        <v>55</v>
      </c>
      <c r="E26" s="9">
        <v>100923509</v>
      </c>
      <c r="F26" s="9">
        <v>3500000</v>
      </c>
      <c r="G26" s="9">
        <v>0</v>
      </c>
      <c r="H26" s="9">
        <v>0</v>
      </c>
      <c r="I26" s="9">
        <v>19400000</v>
      </c>
      <c r="J26" s="10">
        <v>6000000</v>
      </c>
      <c r="K26" s="9">
        <v>0</v>
      </c>
      <c r="L26" s="9">
        <v>0</v>
      </c>
      <c r="M26" s="9">
        <v>22362981</v>
      </c>
      <c r="N26" s="9">
        <v>15041941</v>
      </c>
      <c r="O26" s="9">
        <v>19873690</v>
      </c>
      <c r="P26" s="9">
        <v>0</v>
      </c>
      <c r="Q26" s="9">
        <v>187102121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7092259.6305900002</v>
      </c>
      <c r="AA26" s="8">
        <v>0</v>
      </c>
      <c r="AB26" s="8">
        <v>0</v>
      </c>
      <c r="AC26" s="8">
        <v>0</v>
      </c>
      <c r="AD26" s="11">
        <v>7092259.6305900002</v>
      </c>
      <c r="AE26" s="14">
        <v>4.6602425948518815E-2</v>
      </c>
    </row>
    <row r="27" spans="1:31" ht="11.85" customHeight="1" x14ac:dyDescent="0.2">
      <c r="A27" s="23">
        <v>26</v>
      </c>
      <c r="B27" s="13">
        <v>31374</v>
      </c>
      <c r="C27" s="13">
        <v>25358</v>
      </c>
      <c r="D27" s="12" t="s">
        <v>56</v>
      </c>
      <c r="E27" s="9">
        <v>0</v>
      </c>
      <c r="F27" s="9">
        <v>0</v>
      </c>
      <c r="G27" s="9">
        <v>6025000</v>
      </c>
      <c r="H27" s="9">
        <v>0</v>
      </c>
      <c r="I27" s="9">
        <v>2939454.75</v>
      </c>
      <c r="J27" s="10">
        <v>352745.49</v>
      </c>
      <c r="K27" s="9">
        <v>0</v>
      </c>
      <c r="L27" s="9">
        <v>705490.98</v>
      </c>
      <c r="M27" s="9">
        <v>6638678</v>
      </c>
      <c r="N27" s="9">
        <v>0</v>
      </c>
      <c r="O27" s="9">
        <v>0</v>
      </c>
      <c r="P27" s="9">
        <v>0</v>
      </c>
      <c r="Q27" s="9">
        <v>16661369.220000001</v>
      </c>
      <c r="R27" s="8">
        <v>0</v>
      </c>
      <c r="S27" s="8">
        <v>265500</v>
      </c>
      <c r="T27" s="8">
        <v>4000001</v>
      </c>
      <c r="U27" s="8">
        <v>0</v>
      </c>
      <c r="V27" s="8">
        <v>2408018</v>
      </c>
      <c r="W27" s="8">
        <v>0</v>
      </c>
      <c r="X27" s="8">
        <v>0</v>
      </c>
      <c r="Y27" s="8">
        <v>0</v>
      </c>
      <c r="Z27" s="8">
        <v>1689592.6982499999</v>
      </c>
      <c r="AA27" s="8">
        <v>0</v>
      </c>
      <c r="AB27" s="8">
        <v>0</v>
      </c>
      <c r="AC27" s="8">
        <v>0</v>
      </c>
      <c r="AD27" s="11">
        <v>8363111.6982500004</v>
      </c>
      <c r="AE27" s="14">
        <v>0.50194624390239639</v>
      </c>
    </row>
    <row r="28" spans="1:31" ht="11.85" customHeight="1" x14ac:dyDescent="0.2">
      <c r="A28" s="23">
        <v>27</v>
      </c>
      <c r="B28" s="16">
        <v>31368</v>
      </c>
      <c r="C28" s="16">
        <v>25316</v>
      </c>
      <c r="D28" s="15" t="s">
        <v>57</v>
      </c>
      <c r="E28" s="9">
        <v>0</v>
      </c>
      <c r="F28" s="9">
        <v>344097</v>
      </c>
      <c r="G28" s="9">
        <v>0</v>
      </c>
      <c r="H28" s="9">
        <v>0</v>
      </c>
      <c r="I28" s="9">
        <v>640965</v>
      </c>
      <c r="J28" s="10">
        <v>0</v>
      </c>
      <c r="K28" s="9">
        <v>0</v>
      </c>
      <c r="L28" s="9">
        <v>0</v>
      </c>
      <c r="M28" s="9">
        <v>141687</v>
      </c>
      <c r="N28" s="9">
        <v>0</v>
      </c>
      <c r="O28" s="9">
        <v>0</v>
      </c>
      <c r="P28" s="9">
        <v>0</v>
      </c>
      <c r="Q28" s="9">
        <v>1126749</v>
      </c>
      <c r="R28" s="8">
        <v>0</v>
      </c>
      <c r="S28" s="8">
        <v>160000</v>
      </c>
      <c r="T28" s="8">
        <v>0</v>
      </c>
      <c r="U28" s="8">
        <v>0</v>
      </c>
      <c r="V28" s="8">
        <v>720535.4</v>
      </c>
      <c r="W28" s="8">
        <v>153784.06830000001</v>
      </c>
      <c r="X28" s="8">
        <v>0</v>
      </c>
      <c r="Y28" s="8">
        <v>1400000</v>
      </c>
      <c r="Z28" s="8">
        <v>40595.696129999997</v>
      </c>
      <c r="AA28" s="8">
        <v>0</v>
      </c>
      <c r="AB28" s="8">
        <v>0</v>
      </c>
      <c r="AC28" s="8">
        <v>0</v>
      </c>
      <c r="AD28" s="11">
        <v>2474915.1644299999</v>
      </c>
      <c r="AE28" s="19">
        <v>2.1965097501129356</v>
      </c>
    </row>
    <row r="29" spans="1:31" ht="11.85" customHeight="1" x14ac:dyDescent="0.2">
      <c r="A29" s="23">
        <v>28</v>
      </c>
      <c r="B29" s="13">
        <v>31370</v>
      </c>
      <c r="C29" s="13">
        <v>25318</v>
      </c>
      <c r="D29" s="12" t="s">
        <v>58</v>
      </c>
      <c r="E29" s="9">
        <v>0</v>
      </c>
      <c r="F29" s="9">
        <v>445302</v>
      </c>
      <c r="G29" s="9">
        <v>0</v>
      </c>
      <c r="H29" s="9">
        <v>0</v>
      </c>
      <c r="I29" s="9">
        <v>809640</v>
      </c>
      <c r="J29" s="10">
        <v>0</v>
      </c>
      <c r="K29" s="9">
        <v>0</v>
      </c>
      <c r="L29" s="9">
        <v>202410</v>
      </c>
      <c r="M29" s="9">
        <v>209157</v>
      </c>
      <c r="N29" s="9">
        <v>0</v>
      </c>
      <c r="O29" s="9">
        <v>0</v>
      </c>
      <c r="P29" s="9">
        <v>0</v>
      </c>
      <c r="Q29" s="9">
        <v>1666509</v>
      </c>
      <c r="R29" s="8">
        <v>0</v>
      </c>
      <c r="S29" s="8">
        <v>163500</v>
      </c>
      <c r="T29" s="8">
        <v>0</v>
      </c>
      <c r="U29" s="8">
        <v>0</v>
      </c>
      <c r="V29" s="8">
        <v>415140</v>
      </c>
      <c r="W29" s="8">
        <v>0</v>
      </c>
      <c r="X29" s="8">
        <v>0</v>
      </c>
      <c r="Y29" s="8">
        <v>90058</v>
      </c>
      <c r="Z29" s="8">
        <v>60197.480230000001</v>
      </c>
      <c r="AA29" s="8">
        <v>0</v>
      </c>
      <c r="AB29" s="8">
        <v>0</v>
      </c>
      <c r="AC29" s="8">
        <v>0</v>
      </c>
      <c r="AD29" s="11">
        <v>728895.48022999999</v>
      </c>
      <c r="AE29" s="14">
        <v>0.4373786641596295</v>
      </c>
    </row>
    <row r="30" spans="1:31" ht="11.85" customHeight="1" x14ac:dyDescent="0.2">
      <c r="A30" s="23">
        <v>29</v>
      </c>
      <c r="B30" s="16">
        <v>31373</v>
      </c>
      <c r="C30" s="16">
        <v>25319</v>
      </c>
      <c r="D30" s="15" t="s">
        <v>59</v>
      </c>
      <c r="E30" s="9">
        <v>0</v>
      </c>
      <c r="F30" s="9">
        <v>1484340</v>
      </c>
      <c r="G30" s="9">
        <v>0</v>
      </c>
      <c r="H30" s="9">
        <v>0</v>
      </c>
      <c r="I30" s="9">
        <v>11469900</v>
      </c>
      <c r="J30" s="10">
        <v>0</v>
      </c>
      <c r="K30" s="9">
        <v>0</v>
      </c>
      <c r="L30" s="9">
        <v>1686750</v>
      </c>
      <c r="M30" s="9">
        <v>0</v>
      </c>
      <c r="N30" s="9">
        <v>0</v>
      </c>
      <c r="O30" s="9">
        <v>0</v>
      </c>
      <c r="P30" s="9">
        <v>0</v>
      </c>
      <c r="Q30" s="9">
        <v>14640990</v>
      </c>
      <c r="R30" s="8">
        <v>0</v>
      </c>
      <c r="S30" s="8">
        <v>675000</v>
      </c>
      <c r="T30" s="8">
        <v>0</v>
      </c>
      <c r="U30" s="8">
        <v>0</v>
      </c>
      <c r="V30" s="8">
        <v>5844806.4000000004</v>
      </c>
      <c r="W30" s="8">
        <v>0</v>
      </c>
      <c r="X30" s="8">
        <v>0</v>
      </c>
      <c r="Y30" s="8">
        <v>5427273</v>
      </c>
      <c r="Z30" s="8">
        <v>580604.67015000002</v>
      </c>
      <c r="AA30" s="8">
        <v>0</v>
      </c>
      <c r="AB30" s="8">
        <v>0</v>
      </c>
      <c r="AC30" s="8">
        <v>0</v>
      </c>
      <c r="AD30" s="11">
        <v>12527684.070149999</v>
      </c>
      <c r="AE30" s="18">
        <v>0.85565826287361701</v>
      </c>
    </row>
    <row r="31" spans="1:31" ht="11.85" customHeight="1" x14ac:dyDescent="0.2">
      <c r="A31" s="23">
        <v>30</v>
      </c>
      <c r="B31" s="16">
        <v>31421</v>
      </c>
      <c r="C31" s="16">
        <v>25402</v>
      </c>
      <c r="D31" s="15" t="s">
        <v>60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10">
        <v>0</v>
      </c>
      <c r="K31" s="9">
        <v>0</v>
      </c>
      <c r="L31" s="9">
        <v>0</v>
      </c>
      <c r="M31" s="9">
        <v>0</v>
      </c>
      <c r="N31" s="9">
        <v>38500000</v>
      </c>
      <c r="O31" s="9">
        <v>0</v>
      </c>
      <c r="P31" s="9">
        <v>0</v>
      </c>
      <c r="Q31" s="9">
        <v>38500000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1874040.08607</v>
      </c>
      <c r="AA31" s="8">
        <v>0</v>
      </c>
      <c r="AB31" s="8">
        <v>0</v>
      </c>
      <c r="AC31" s="8">
        <v>0</v>
      </c>
      <c r="AD31" s="11">
        <v>1874040.08607</v>
      </c>
      <c r="AE31" s="17">
        <f>+AD31/Q31</f>
        <v>4.8676365871948048E-2</v>
      </c>
    </row>
    <row r="32" spans="1:31" ht="11.85" customHeight="1" x14ac:dyDescent="0.2">
      <c r="A32" s="23">
        <v>31</v>
      </c>
      <c r="B32" s="13">
        <v>31419</v>
      </c>
      <c r="C32" s="13">
        <v>25354</v>
      </c>
      <c r="D32" s="12" t="s">
        <v>61</v>
      </c>
      <c r="E32" s="9">
        <v>2038000</v>
      </c>
      <c r="F32" s="9">
        <v>3020000</v>
      </c>
      <c r="G32" s="9">
        <v>1400000</v>
      </c>
      <c r="H32" s="9">
        <v>0</v>
      </c>
      <c r="I32" s="9">
        <v>0</v>
      </c>
      <c r="J32" s="10">
        <v>0</v>
      </c>
      <c r="K32" s="9">
        <v>0</v>
      </c>
      <c r="L32" s="9">
        <v>0</v>
      </c>
      <c r="M32" s="9">
        <v>0</v>
      </c>
      <c r="N32" s="9">
        <v>2568901</v>
      </c>
      <c r="O32" s="9">
        <v>1800000</v>
      </c>
      <c r="P32" s="9">
        <v>0</v>
      </c>
      <c r="Q32" s="9">
        <v>10826901</v>
      </c>
      <c r="R32" s="8">
        <v>0</v>
      </c>
      <c r="S32" s="8">
        <v>81000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10909</v>
      </c>
      <c r="Z32" s="8">
        <v>1226297.68071</v>
      </c>
      <c r="AA32" s="8">
        <v>0</v>
      </c>
      <c r="AB32" s="8">
        <v>0</v>
      </c>
      <c r="AC32" s="8">
        <v>0</v>
      </c>
      <c r="AD32" s="11">
        <v>1318206.68071</v>
      </c>
      <c r="AE32" s="14">
        <v>0.20411995675286465</v>
      </c>
    </row>
    <row r="33" spans="1:31" ht="11.85" customHeight="1" x14ac:dyDescent="0.2">
      <c r="A33" s="23">
        <v>32</v>
      </c>
      <c r="B33" s="13">
        <v>31424</v>
      </c>
      <c r="C33" s="13">
        <v>25324</v>
      </c>
      <c r="D33" s="12" t="s">
        <v>62</v>
      </c>
      <c r="E33" s="9">
        <v>0</v>
      </c>
      <c r="F33" s="9">
        <v>628235</v>
      </c>
      <c r="G33" s="9">
        <v>0</v>
      </c>
      <c r="H33" s="9">
        <v>0</v>
      </c>
      <c r="I33" s="9">
        <v>661300</v>
      </c>
      <c r="J33" s="10">
        <v>0</v>
      </c>
      <c r="K33" s="9">
        <v>0</v>
      </c>
      <c r="L33" s="9">
        <v>0</v>
      </c>
      <c r="M33" s="9">
        <v>165325</v>
      </c>
      <c r="N33" s="9">
        <v>0</v>
      </c>
      <c r="O33" s="9">
        <v>0</v>
      </c>
      <c r="P33" s="9">
        <v>0</v>
      </c>
      <c r="Q33" s="9">
        <v>1454860</v>
      </c>
      <c r="R33" s="8">
        <v>0</v>
      </c>
      <c r="S33" s="8">
        <v>961500</v>
      </c>
      <c r="T33" s="8">
        <v>0</v>
      </c>
      <c r="U33" s="8">
        <v>0</v>
      </c>
      <c r="V33" s="8">
        <v>540304.5</v>
      </c>
      <c r="W33" s="8">
        <v>0</v>
      </c>
      <c r="X33" s="8">
        <v>0</v>
      </c>
      <c r="Y33" s="8">
        <v>248364</v>
      </c>
      <c r="Z33" s="8">
        <v>49662.940159999998</v>
      </c>
      <c r="AA33" s="8">
        <v>0</v>
      </c>
      <c r="AB33" s="8">
        <v>0</v>
      </c>
      <c r="AC33" s="8">
        <v>0</v>
      </c>
      <c r="AD33" s="11">
        <v>1799831.44016</v>
      </c>
      <c r="AE33" s="19">
        <v>1.2371165886477049</v>
      </c>
    </row>
    <row r="34" spans="1:31" ht="11.85" customHeight="1" x14ac:dyDescent="0.2">
      <c r="A34" s="23">
        <v>33</v>
      </c>
      <c r="B34" s="16">
        <v>31423</v>
      </c>
      <c r="C34" s="16">
        <v>25321</v>
      </c>
      <c r="D34" s="15" t="s">
        <v>63</v>
      </c>
      <c r="E34" s="9">
        <v>0</v>
      </c>
      <c r="F34" s="9">
        <v>2655781</v>
      </c>
      <c r="G34" s="9">
        <v>1708932</v>
      </c>
      <c r="H34" s="9">
        <v>0</v>
      </c>
      <c r="I34" s="9">
        <v>17538470</v>
      </c>
      <c r="J34" s="10">
        <v>46414597</v>
      </c>
      <c r="K34" s="9">
        <v>0</v>
      </c>
      <c r="L34" s="9">
        <v>1726919</v>
      </c>
      <c r="M34" s="9">
        <v>14829322</v>
      </c>
      <c r="N34" s="9">
        <v>0</v>
      </c>
      <c r="O34" s="9">
        <v>0</v>
      </c>
      <c r="P34" s="9">
        <v>0</v>
      </c>
      <c r="Q34" s="9">
        <v>84874021</v>
      </c>
      <c r="R34" s="8">
        <v>98173311.780000001</v>
      </c>
      <c r="S34" s="8">
        <v>3039500</v>
      </c>
      <c r="T34" s="8">
        <v>1727273</v>
      </c>
      <c r="U34" s="8">
        <v>0</v>
      </c>
      <c r="V34" s="8">
        <v>21471261.300000001</v>
      </c>
      <c r="W34" s="8">
        <v>6585346.6195</v>
      </c>
      <c r="X34" s="8">
        <v>0</v>
      </c>
      <c r="Y34" s="8">
        <v>1864500</v>
      </c>
      <c r="Z34" s="8">
        <v>3145242.6039800001</v>
      </c>
      <c r="AA34" s="8">
        <v>0</v>
      </c>
      <c r="AB34" s="8">
        <v>0</v>
      </c>
      <c r="AC34" s="8">
        <v>0</v>
      </c>
      <c r="AD34" s="11">
        <v>136006435.30348</v>
      </c>
      <c r="AE34" s="19">
        <v>1.6024507110777748</v>
      </c>
    </row>
    <row r="35" spans="1:31" ht="11.85" customHeight="1" x14ac:dyDescent="0.2">
      <c r="A35" s="23">
        <v>34</v>
      </c>
      <c r="B35" s="16">
        <v>31434</v>
      </c>
      <c r="C35" s="16">
        <v>25333</v>
      </c>
      <c r="D35" s="15" t="s">
        <v>65</v>
      </c>
      <c r="E35" s="9">
        <v>0</v>
      </c>
      <c r="F35" s="9">
        <v>400000</v>
      </c>
      <c r="G35" s="9">
        <v>0</v>
      </c>
      <c r="H35" s="9">
        <v>0</v>
      </c>
      <c r="I35" s="9">
        <v>3600000</v>
      </c>
      <c r="J35" s="10">
        <v>300000</v>
      </c>
      <c r="K35" s="9">
        <v>0</v>
      </c>
      <c r="L35" s="9">
        <v>200000</v>
      </c>
      <c r="M35" s="9">
        <v>816500</v>
      </c>
      <c r="N35" s="9">
        <v>1195000</v>
      </c>
      <c r="O35" s="9">
        <v>0</v>
      </c>
      <c r="P35" s="9">
        <v>0</v>
      </c>
      <c r="Q35" s="9">
        <v>6511500</v>
      </c>
      <c r="R35" s="8">
        <v>0</v>
      </c>
      <c r="S35" s="8">
        <v>364500</v>
      </c>
      <c r="T35" s="8">
        <v>0</v>
      </c>
      <c r="U35" s="8">
        <v>0</v>
      </c>
      <c r="V35" s="8">
        <v>2128528.5</v>
      </c>
      <c r="W35" s="8">
        <v>286121.16310000001</v>
      </c>
      <c r="X35" s="8">
        <v>0</v>
      </c>
      <c r="Y35" s="8">
        <v>0</v>
      </c>
      <c r="Z35" s="8">
        <v>380071.80942000001</v>
      </c>
      <c r="AA35" s="8">
        <v>0</v>
      </c>
      <c r="AB35" s="8">
        <v>0</v>
      </c>
      <c r="AC35" s="8">
        <v>0</v>
      </c>
      <c r="AD35" s="11">
        <v>3159221.4725199998</v>
      </c>
      <c r="AE35" s="14">
        <v>0.59422956315621167</v>
      </c>
    </row>
    <row r="36" spans="1:31" ht="11.85" customHeight="1" x14ac:dyDescent="0.2">
      <c r="A36" s="23">
        <v>35</v>
      </c>
      <c r="B36" s="16">
        <v>31438</v>
      </c>
      <c r="C36" s="16">
        <v>25514</v>
      </c>
      <c r="D36" s="15" t="s">
        <v>66</v>
      </c>
      <c r="E36" s="9">
        <v>0</v>
      </c>
      <c r="F36" s="9">
        <v>3275438</v>
      </c>
      <c r="G36" s="9">
        <v>0</v>
      </c>
      <c r="H36" s="9">
        <v>0</v>
      </c>
      <c r="I36" s="9">
        <v>4252537</v>
      </c>
      <c r="J36" s="10">
        <v>379983</v>
      </c>
      <c r="K36" s="9">
        <v>0</v>
      </c>
      <c r="L36" s="9">
        <v>4306432</v>
      </c>
      <c r="M36" s="9">
        <v>4471805</v>
      </c>
      <c r="N36" s="9">
        <v>0</v>
      </c>
      <c r="O36" s="9">
        <v>0</v>
      </c>
      <c r="P36" s="9">
        <v>0</v>
      </c>
      <c r="Q36" s="9">
        <v>16686195</v>
      </c>
      <c r="R36" s="8">
        <v>0</v>
      </c>
      <c r="S36" s="8">
        <v>1647000</v>
      </c>
      <c r="T36" s="8">
        <v>0</v>
      </c>
      <c r="U36" s="8">
        <v>0</v>
      </c>
      <c r="V36" s="8">
        <v>18496111.050000001</v>
      </c>
      <c r="W36" s="8">
        <v>0</v>
      </c>
      <c r="X36" s="8">
        <v>0</v>
      </c>
      <c r="Y36" s="8">
        <v>9219635</v>
      </c>
      <c r="Z36" s="8">
        <v>1443142.1767500001</v>
      </c>
      <c r="AA36" s="8">
        <v>0</v>
      </c>
      <c r="AB36" s="8">
        <v>0</v>
      </c>
      <c r="AC36" s="8">
        <v>0</v>
      </c>
      <c r="AD36" s="11">
        <v>30805888.226750001</v>
      </c>
      <c r="AE36" s="19">
        <v>1.846190112650008</v>
      </c>
    </row>
    <row r="37" spans="1:31" ht="11.85" customHeight="1" x14ac:dyDescent="0.2">
      <c r="A37" s="23">
        <v>36</v>
      </c>
      <c r="B37" s="13">
        <v>31445</v>
      </c>
      <c r="C37" s="13">
        <v>25541</v>
      </c>
      <c r="D37" s="12" t="s">
        <v>67</v>
      </c>
      <c r="E37" s="9">
        <v>0</v>
      </c>
      <c r="F37" s="9">
        <v>22588744</v>
      </c>
      <c r="G37" s="9">
        <v>96475261</v>
      </c>
      <c r="H37" s="9">
        <v>52168000</v>
      </c>
      <c r="I37" s="9">
        <v>160677440</v>
      </c>
      <c r="J37" s="10">
        <v>18193590</v>
      </c>
      <c r="K37" s="9">
        <v>0</v>
      </c>
      <c r="L37" s="9">
        <v>19563000</v>
      </c>
      <c r="M37" s="9">
        <v>224927418</v>
      </c>
      <c r="N37" s="9">
        <v>168695662</v>
      </c>
      <c r="O37" s="9">
        <v>0</v>
      </c>
      <c r="P37" s="9">
        <v>0</v>
      </c>
      <c r="Q37" s="9">
        <v>763289115</v>
      </c>
      <c r="R37" s="8">
        <v>0</v>
      </c>
      <c r="S37" s="8">
        <v>2121000</v>
      </c>
      <c r="T37" s="8">
        <v>115909091</v>
      </c>
      <c r="U37" s="8">
        <v>32296364</v>
      </c>
      <c r="V37" s="8">
        <v>95925135.540000007</v>
      </c>
      <c r="W37" s="8">
        <v>7314057.9922000002</v>
      </c>
      <c r="X37" s="8">
        <v>0</v>
      </c>
      <c r="Y37" s="8">
        <v>58139385.924999997</v>
      </c>
      <c r="Z37" s="8">
        <v>57407153.684239998</v>
      </c>
      <c r="AA37" s="8">
        <v>0</v>
      </c>
      <c r="AB37" s="8">
        <v>0</v>
      </c>
      <c r="AC37" s="8">
        <v>0</v>
      </c>
      <c r="AD37" s="11">
        <v>369112188.14143997</v>
      </c>
      <c r="AE37" s="14">
        <v>0.6207807810178495</v>
      </c>
    </row>
    <row r="38" spans="1:31" ht="11.85" customHeight="1" x14ac:dyDescent="0.2">
      <c r="A38" s="23">
        <v>37</v>
      </c>
      <c r="B38" s="16">
        <v>31442</v>
      </c>
      <c r="C38" s="16">
        <v>25328</v>
      </c>
      <c r="D38" s="15" t="s">
        <v>68</v>
      </c>
      <c r="E38" s="9">
        <v>0</v>
      </c>
      <c r="F38" s="9">
        <v>0</v>
      </c>
      <c r="G38" s="9">
        <v>0</v>
      </c>
      <c r="H38" s="9">
        <v>0</v>
      </c>
      <c r="I38" s="9">
        <v>3580500</v>
      </c>
      <c r="J38" s="10">
        <v>1953000</v>
      </c>
      <c r="K38" s="9">
        <v>0</v>
      </c>
      <c r="L38" s="9">
        <v>1266911</v>
      </c>
      <c r="M38" s="9">
        <v>1882106</v>
      </c>
      <c r="N38" s="9">
        <v>1882106</v>
      </c>
      <c r="O38" s="9">
        <v>0</v>
      </c>
      <c r="P38" s="9">
        <v>0</v>
      </c>
      <c r="Q38" s="9">
        <v>10564623</v>
      </c>
      <c r="R38" s="8">
        <v>0</v>
      </c>
      <c r="S38" s="8">
        <v>1192000</v>
      </c>
      <c r="T38" s="8">
        <v>0</v>
      </c>
      <c r="U38" s="8">
        <v>0</v>
      </c>
      <c r="V38" s="8">
        <v>1768276.8</v>
      </c>
      <c r="W38" s="8">
        <v>45650.217299999997</v>
      </c>
      <c r="X38" s="8">
        <v>0</v>
      </c>
      <c r="Y38" s="8">
        <v>631819</v>
      </c>
      <c r="Z38" s="8">
        <v>355428.44933999999</v>
      </c>
      <c r="AA38" s="8">
        <v>0</v>
      </c>
      <c r="AB38" s="8">
        <v>0</v>
      </c>
      <c r="AC38" s="8">
        <v>0</v>
      </c>
      <c r="AD38" s="11">
        <v>3993174.4666400002</v>
      </c>
      <c r="AE38" s="14">
        <v>0.45990977807932892</v>
      </c>
    </row>
    <row r="39" spans="1:31" ht="11.85" customHeight="1" x14ac:dyDescent="0.2">
      <c r="A39" s="23">
        <v>38</v>
      </c>
      <c r="B39" s="13">
        <v>31455</v>
      </c>
      <c r="C39" s="13">
        <v>25356</v>
      </c>
      <c r="D39" s="12" t="s">
        <v>69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10">
        <v>0</v>
      </c>
      <c r="K39" s="9">
        <v>0</v>
      </c>
      <c r="L39" s="9">
        <v>0</v>
      </c>
      <c r="M39" s="9">
        <v>0</v>
      </c>
      <c r="N39" s="9">
        <v>1376033889</v>
      </c>
      <c r="O39" s="9">
        <v>0</v>
      </c>
      <c r="P39" s="9">
        <v>0</v>
      </c>
      <c r="Q39" s="9">
        <v>1376033889</v>
      </c>
      <c r="R39" s="8">
        <v>0</v>
      </c>
      <c r="S39" s="8">
        <v>1020000</v>
      </c>
      <c r="T39" s="8">
        <v>0</v>
      </c>
      <c r="U39" s="8">
        <v>0</v>
      </c>
      <c r="V39" s="8">
        <v>0</v>
      </c>
      <c r="W39" s="8">
        <v>7425951.4897999996</v>
      </c>
      <c r="X39" s="8">
        <v>0</v>
      </c>
      <c r="Y39" s="8">
        <v>2731818.5</v>
      </c>
      <c r="Z39" s="8">
        <v>39798091.094999999</v>
      </c>
      <c r="AA39" s="8">
        <v>0</v>
      </c>
      <c r="AB39" s="8">
        <v>0</v>
      </c>
      <c r="AC39" s="8">
        <v>0</v>
      </c>
      <c r="AD39" s="11">
        <v>50975861.084799998</v>
      </c>
      <c r="AE39" s="17">
        <f t="shared" ref="AE39:AE41" si="0">+AD39/Q39</f>
        <v>3.7045498292084575E-2</v>
      </c>
    </row>
    <row r="40" spans="1:31" ht="11.85" customHeight="1" x14ac:dyDescent="0.2">
      <c r="A40" s="23">
        <v>39</v>
      </c>
      <c r="B40" s="16">
        <v>31456</v>
      </c>
      <c r="C40" s="22">
        <v>25357</v>
      </c>
      <c r="D40" s="15" t="s">
        <v>70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10">
        <v>0</v>
      </c>
      <c r="K40" s="9">
        <v>0</v>
      </c>
      <c r="L40" s="9">
        <v>0</v>
      </c>
      <c r="M40" s="9">
        <v>0</v>
      </c>
      <c r="N40" s="9">
        <v>1766304926</v>
      </c>
      <c r="O40" s="9">
        <v>0</v>
      </c>
      <c r="P40" s="9">
        <v>0</v>
      </c>
      <c r="Q40" s="9">
        <v>1766304926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70934619.5</v>
      </c>
      <c r="Z40" s="8">
        <v>0</v>
      </c>
      <c r="AA40" s="8">
        <v>0</v>
      </c>
      <c r="AB40" s="8">
        <v>0</v>
      </c>
      <c r="AC40" s="8">
        <v>0</v>
      </c>
      <c r="AD40" s="11">
        <v>70934619.5</v>
      </c>
      <c r="AE40" s="17">
        <f t="shared" si="0"/>
        <v>4.0159894509630097E-2</v>
      </c>
    </row>
    <row r="41" spans="1:31" ht="11.85" customHeight="1" x14ac:dyDescent="0.2">
      <c r="A41" s="23">
        <v>40</v>
      </c>
      <c r="B41" s="13">
        <v>31476</v>
      </c>
      <c r="C41" s="13">
        <v>25362</v>
      </c>
      <c r="D41" s="12" t="s">
        <v>71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10">
        <v>0</v>
      </c>
      <c r="K41" s="9">
        <v>0</v>
      </c>
      <c r="L41" s="9">
        <v>0</v>
      </c>
      <c r="M41" s="9">
        <v>0</v>
      </c>
      <c r="N41" s="9">
        <v>3000000</v>
      </c>
      <c r="O41" s="9">
        <v>0</v>
      </c>
      <c r="P41" s="9">
        <v>0</v>
      </c>
      <c r="Q41" s="9">
        <v>3000000</v>
      </c>
      <c r="R41" s="8">
        <v>0</v>
      </c>
      <c r="S41" s="8">
        <v>0</v>
      </c>
      <c r="T41" s="8">
        <v>1090909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122163.30839999999</v>
      </c>
      <c r="AA41" s="8">
        <v>0</v>
      </c>
      <c r="AB41" s="8">
        <v>0</v>
      </c>
      <c r="AC41" s="8">
        <v>0</v>
      </c>
      <c r="AD41" s="11">
        <v>1213072.3084</v>
      </c>
      <c r="AE41" s="17">
        <f t="shared" si="0"/>
        <v>0.4043574361333333</v>
      </c>
    </row>
    <row r="42" spans="1:31" ht="11.85" customHeight="1" x14ac:dyDescent="0.2">
      <c r="A42" s="23">
        <v>41</v>
      </c>
      <c r="B42" s="16">
        <v>31479</v>
      </c>
      <c r="C42" s="16">
        <v>25335</v>
      </c>
      <c r="D42" s="15" t="s">
        <v>72</v>
      </c>
      <c r="E42" s="9">
        <v>0</v>
      </c>
      <c r="F42" s="9">
        <v>2170880</v>
      </c>
      <c r="G42" s="9">
        <v>0</v>
      </c>
      <c r="H42" s="9">
        <v>0</v>
      </c>
      <c r="I42" s="9">
        <v>1356800</v>
      </c>
      <c r="J42" s="10">
        <v>0</v>
      </c>
      <c r="K42" s="9">
        <v>0</v>
      </c>
      <c r="L42" s="9">
        <v>1017600</v>
      </c>
      <c r="M42" s="9">
        <v>0</v>
      </c>
      <c r="N42" s="9">
        <v>0</v>
      </c>
      <c r="O42" s="9">
        <v>0</v>
      </c>
      <c r="P42" s="9">
        <v>0</v>
      </c>
      <c r="Q42" s="9">
        <v>4545280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155384.56073999999</v>
      </c>
      <c r="AA42" s="8">
        <v>0</v>
      </c>
      <c r="AB42" s="8">
        <v>0</v>
      </c>
      <c r="AC42" s="8">
        <v>0</v>
      </c>
      <c r="AD42" s="11">
        <v>155384.56073999999</v>
      </c>
      <c r="AE42" s="14">
        <v>3.4185916101978318E-2</v>
      </c>
    </row>
    <row r="43" spans="1:31" ht="11.85" customHeight="1" x14ac:dyDescent="0.2">
      <c r="A43" s="23">
        <v>42</v>
      </c>
      <c r="B43" s="16">
        <v>31484</v>
      </c>
      <c r="C43" s="16">
        <v>25444</v>
      </c>
      <c r="D43" s="15" t="s">
        <v>73</v>
      </c>
      <c r="E43" s="9">
        <v>0</v>
      </c>
      <c r="F43" s="9">
        <v>1548157</v>
      </c>
      <c r="G43" s="9">
        <v>10023013</v>
      </c>
      <c r="H43" s="9">
        <v>0</v>
      </c>
      <c r="I43" s="9">
        <v>12207278</v>
      </c>
      <c r="J43" s="10">
        <v>1548157</v>
      </c>
      <c r="K43" s="9">
        <v>0</v>
      </c>
      <c r="L43" s="9">
        <v>0</v>
      </c>
      <c r="M43" s="9">
        <v>9886954</v>
      </c>
      <c r="N43" s="9">
        <v>0</v>
      </c>
      <c r="O43" s="9">
        <v>0</v>
      </c>
      <c r="P43" s="9">
        <v>0</v>
      </c>
      <c r="Q43" s="9">
        <v>35213559</v>
      </c>
      <c r="R43" s="8">
        <v>0</v>
      </c>
      <c r="S43" s="8">
        <v>198000</v>
      </c>
      <c r="T43" s="8">
        <v>1500000</v>
      </c>
      <c r="U43" s="8">
        <v>0</v>
      </c>
      <c r="V43" s="8">
        <v>5253962.6900000004</v>
      </c>
      <c r="W43" s="8">
        <v>1311246.2208</v>
      </c>
      <c r="X43" s="8">
        <v>0</v>
      </c>
      <c r="Y43" s="8">
        <v>1017623.875</v>
      </c>
      <c r="Z43" s="8">
        <v>4814241.3325500004</v>
      </c>
      <c r="AA43" s="8">
        <v>0</v>
      </c>
      <c r="AB43" s="8">
        <v>0</v>
      </c>
      <c r="AC43" s="8">
        <v>0</v>
      </c>
      <c r="AD43" s="11">
        <v>14095074.118349999</v>
      </c>
      <c r="AE43" s="14">
        <v>0.40027405688672374</v>
      </c>
    </row>
    <row r="44" spans="1:31" ht="11.85" customHeight="1" x14ac:dyDescent="0.2">
      <c r="A44" s="23">
        <v>43</v>
      </c>
      <c r="B44" s="13">
        <v>31483</v>
      </c>
      <c r="C44" s="13">
        <v>25382</v>
      </c>
      <c r="D44" s="12" t="s">
        <v>74</v>
      </c>
      <c r="E44" s="9">
        <v>0</v>
      </c>
      <c r="F44" s="9">
        <v>0</v>
      </c>
      <c r="G44" s="9">
        <v>0</v>
      </c>
      <c r="H44" s="9">
        <v>0</v>
      </c>
      <c r="I44" s="9">
        <v>373613</v>
      </c>
      <c r="J44" s="10">
        <v>44900</v>
      </c>
      <c r="K44" s="9">
        <v>0</v>
      </c>
      <c r="L44" s="9">
        <v>89667</v>
      </c>
      <c r="M44" s="9">
        <v>704916</v>
      </c>
      <c r="N44" s="9">
        <v>232470</v>
      </c>
      <c r="O44" s="9">
        <v>0</v>
      </c>
      <c r="P44" s="9">
        <v>0</v>
      </c>
      <c r="Q44" s="9">
        <v>1445566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343134.00073000003</v>
      </c>
      <c r="AA44" s="8">
        <v>0</v>
      </c>
      <c r="AB44" s="8">
        <v>0</v>
      </c>
      <c r="AC44" s="8">
        <v>0</v>
      </c>
      <c r="AD44" s="11">
        <v>343134.00073000003</v>
      </c>
      <c r="AE44" s="14">
        <v>0.28285807613742031</v>
      </c>
    </row>
    <row r="45" spans="1:31" ht="11.85" customHeight="1" x14ac:dyDescent="0.2">
      <c r="A45" s="23">
        <v>44</v>
      </c>
      <c r="B45" s="13">
        <v>31503</v>
      </c>
      <c r="C45" s="13">
        <v>25355</v>
      </c>
      <c r="D45" s="12" t="s">
        <v>75</v>
      </c>
      <c r="E45" s="9">
        <v>0</v>
      </c>
      <c r="F45" s="9">
        <v>200000</v>
      </c>
      <c r="G45" s="9">
        <v>0</v>
      </c>
      <c r="H45" s="9">
        <v>0</v>
      </c>
      <c r="I45" s="9">
        <v>450000</v>
      </c>
      <c r="J45" s="10">
        <v>100000</v>
      </c>
      <c r="K45" s="9">
        <v>0</v>
      </c>
      <c r="L45" s="9">
        <v>50000</v>
      </c>
      <c r="M45" s="9">
        <v>331000</v>
      </c>
      <c r="N45" s="9">
        <v>0</v>
      </c>
      <c r="O45" s="9">
        <v>0</v>
      </c>
      <c r="P45" s="9">
        <v>0</v>
      </c>
      <c r="Q45" s="9">
        <v>1131000</v>
      </c>
      <c r="R45" s="8">
        <v>0</v>
      </c>
      <c r="S45" s="8">
        <v>157500</v>
      </c>
      <c r="T45" s="8">
        <v>0</v>
      </c>
      <c r="U45" s="8">
        <v>0</v>
      </c>
      <c r="V45" s="8">
        <v>345850</v>
      </c>
      <c r="W45" s="8">
        <v>135048.41915</v>
      </c>
      <c r="X45" s="8">
        <v>0</v>
      </c>
      <c r="Y45" s="8">
        <v>0</v>
      </c>
      <c r="Z45" s="8">
        <v>73177.640190000006</v>
      </c>
      <c r="AA45" s="8">
        <v>0</v>
      </c>
      <c r="AB45" s="8">
        <v>0</v>
      </c>
      <c r="AC45" s="8">
        <v>0</v>
      </c>
      <c r="AD45" s="11">
        <v>711576.05934000004</v>
      </c>
      <c r="AE45" s="14">
        <v>0.62915655114058355</v>
      </c>
    </row>
    <row r="46" spans="1:31" ht="11.85" customHeight="1" x14ac:dyDescent="0.2">
      <c r="A46" s="23">
        <v>45</v>
      </c>
      <c r="B46" s="16">
        <v>31508</v>
      </c>
      <c r="C46" s="16">
        <v>25350</v>
      </c>
      <c r="D46" s="15" t="s">
        <v>76</v>
      </c>
      <c r="E46" s="9">
        <v>11588506</v>
      </c>
      <c r="F46" s="9">
        <v>0</v>
      </c>
      <c r="G46" s="9">
        <v>0</v>
      </c>
      <c r="H46" s="9">
        <v>0</v>
      </c>
      <c r="I46" s="9">
        <v>0</v>
      </c>
      <c r="J46" s="10">
        <v>0</v>
      </c>
      <c r="K46" s="9">
        <v>0</v>
      </c>
      <c r="L46" s="9">
        <v>0</v>
      </c>
      <c r="M46" s="9">
        <v>6474598</v>
      </c>
      <c r="N46" s="9">
        <v>0</v>
      </c>
      <c r="O46" s="9">
        <v>0</v>
      </c>
      <c r="P46" s="9">
        <v>0</v>
      </c>
      <c r="Q46" s="9">
        <v>18063104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1206921.78049</v>
      </c>
      <c r="AA46" s="8">
        <v>0</v>
      </c>
      <c r="AB46" s="8">
        <v>0</v>
      </c>
      <c r="AC46" s="8">
        <v>0</v>
      </c>
      <c r="AD46" s="11">
        <v>1206921.78049</v>
      </c>
      <c r="AE46" s="14">
        <v>6.6816964597557552E-2</v>
      </c>
    </row>
    <row r="47" spans="1:31" ht="11.85" customHeight="1" x14ac:dyDescent="0.2">
      <c r="A47" s="23">
        <v>46</v>
      </c>
      <c r="B47" s="16">
        <v>31507</v>
      </c>
      <c r="C47" s="16">
        <v>25367</v>
      </c>
      <c r="D47" s="15" t="s">
        <v>77</v>
      </c>
      <c r="E47" s="9">
        <v>0</v>
      </c>
      <c r="F47" s="9">
        <v>200000</v>
      </c>
      <c r="G47" s="9">
        <v>0</v>
      </c>
      <c r="H47" s="9">
        <v>0</v>
      </c>
      <c r="I47" s="9">
        <v>1800000</v>
      </c>
      <c r="J47" s="10">
        <v>200000</v>
      </c>
      <c r="K47" s="9">
        <v>0</v>
      </c>
      <c r="L47" s="9">
        <v>0</v>
      </c>
      <c r="M47" s="9">
        <v>1547000</v>
      </c>
      <c r="N47" s="9">
        <v>0</v>
      </c>
      <c r="O47" s="9">
        <v>0</v>
      </c>
      <c r="P47" s="9">
        <v>0</v>
      </c>
      <c r="Q47" s="9">
        <v>3747000</v>
      </c>
      <c r="R47" s="8">
        <v>6918736</v>
      </c>
      <c r="S47" s="8">
        <v>84000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351214.48145999998</v>
      </c>
      <c r="AA47" s="8">
        <v>0</v>
      </c>
      <c r="AB47" s="8">
        <v>0</v>
      </c>
      <c r="AC47" s="8">
        <v>0</v>
      </c>
      <c r="AD47" s="11">
        <v>7353950.4814600004</v>
      </c>
      <c r="AE47" s="19">
        <v>1.9626235605711235</v>
      </c>
    </row>
    <row r="48" spans="1:31" ht="11.85" customHeight="1" x14ac:dyDescent="0.2">
      <c r="A48" s="23">
        <v>47</v>
      </c>
      <c r="B48" s="16">
        <v>31525</v>
      </c>
      <c r="C48" s="16">
        <v>25584</v>
      </c>
      <c r="D48" s="15" t="s">
        <v>78</v>
      </c>
      <c r="E48" s="9">
        <v>0</v>
      </c>
      <c r="F48" s="9">
        <v>22989600</v>
      </c>
      <c r="G48" s="9">
        <v>15326400</v>
      </c>
      <c r="H48" s="9">
        <v>0</v>
      </c>
      <c r="I48" s="9">
        <v>268212000</v>
      </c>
      <c r="J48" s="10">
        <v>30652800</v>
      </c>
      <c r="K48" s="9">
        <v>0</v>
      </c>
      <c r="L48" s="9">
        <v>11494800</v>
      </c>
      <c r="M48" s="9">
        <v>130504296</v>
      </c>
      <c r="N48" s="9">
        <v>7663200</v>
      </c>
      <c r="O48" s="9">
        <v>0</v>
      </c>
      <c r="P48" s="9">
        <v>0</v>
      </c>
      <c r="Q48" s="9">
        <v>486843096</v>
      </c>
      <c r="R48" s="8">
        <v>0</v>
      </c>
      <c r="S48" s="8">
        <v>328500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1357714</v>
      </c>
      <c r="Z48" s="8">
        <v>51192129.49487</v>
      </c>
      <c r="AA48" s="8">
        <v>0</v>
      </c>
      <c r="AB48" s="8">
        <v>0</v>
      </c>
      <c r="AC48" s="8">
        <v>0</v>
      </c>
      <c r="AD48" s="11">
        <v>52878343.49487</v>
      </c>
      <c r="AE48" s="14">
        <v>0.11035175710892095</v>
      </c>
    </row>
    <row r="49" spans="1:31" ht="11.85" customHeight="1" x14ac:dyDescent="0.2">
      <c r="A49" s="23">
        <v>48</v>
      </c>
      <c r="B49" s="13">
        <v>31527</v>
      </c>
      <c r="C49" s="13">
        <v>25585</v>
      </c>
      <c r="D49" s="12" t="s">
        <v>79</v>
      </c>
      <c r="E49" s="9">
        <v>806008096</v>
      </c>
      <c r="F49" s="9">
        <v>0</v>
      </c>
      <c r="G49" s="9">
        <v>0</v>
      </c>
      <c r="H49" s="9">
        <v>0</v>
      </c>
      <c r="I49" s="9">
        <v>0</v>
      </c>
      <c r="J49" s="10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806008096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1357650</v>
      </c>
      <c r="Z49" s="8">
        <v>27372479.07288</v>
      </c>
      <c r="AA49" s="8">
        <v>0</v>
      </c>
      <c r="AB49" s="8">
        <v>0</v>
      </c>
      <c r="AC49" s="8">
        <v>0</v>
      </c>
      <c r="AD49" s="11">
        <v>28730129.07288</v>
      </c>
      <c r="AE49" s="14">
        <v>3.5644963388655596E-2</v>
      </c>
    </row>
    <row r="50" spans="1:31" ht="11.85" customHeight="1" x14ac:dyDescent="0.2">
      <c r="A50" s="23">
        <v>49</v>
      </c>
      <c r="B50" s="16">
        <v>31534</v>
      </c>
      <c r="C50" s="16">
        <v>25378</v>
      </c>
      <c r="D50" s="15" t="s">
        <v>80</v>
      </c>
      <c r="E50" s="9">
        <v>0</v>
      </c>
      <c r="F50" s="9">
        <v>1604050</v>
      </c>
      <c r="G50" s="9">
        <v>7200000</v>
      </c>
      <c r="H50" s="9">
        <v>0</v>
      </c>
      <c r="I50" s="9">
        <v>9000000</v>
      </c>
      <c r="J50" s="10">
        <v>1924860</v>
      </c>
      <c r="K50" s="9">
        <v>0</v>
      </c>
      <c r="L50" s="9">
        <v>0</v>
      </c>
      <c r="M50" s="9">
        <v>12477000</v>
      </c>
      <c r="N50" s="9">
        <v>0</v>
      </c>
      <c r="O50" s="9">
        <v>0</v>
      </c>
      <c r="P50" s="9">
        <v>0</v>
      </c>
      <c r="Q50" s="9">
        <v>32205910</v>
      </c>
      <c r="R50" s="8">
        <v>0</v>
      </c>
      <c r="S50" s="8">
        <v>534000</v>
      </c>
      <c r="T50" s="8">
        <v>3272727</v>
      </c>
      <c r="U50" s="8">
        <v>0</v>
      </c>
      <c r="V50" s="8">
        <v>9515631.1999999993</v>
      </c>
      <c r="W50" s="8">
        <v>1097758.7476999999</v>
      </c>
      <c r="X50" s="8">
        <v>0</v>
      </c>
      <c r="Y50" s="8">
        <v>0</v>
      </c>
      <c r="Z50" s="8">
        <v>3175679.98007</v>
      </c>
      <c r="AA50" s="8">
        <v>0</v>
      </c>
      <c r="AB50" s="8">
        <v>0</v>
      </c>
      <c r="AC50" s="8">
        <v>0</v>
      </c>
      <c r="AD50" s="11">
        <v>17595796.92777</v>
      </c>
      <c r="AE50" s="14">
        <v>0.54635304289709563</v>
      </c>
    </row>
    <row r="51" spans="1:31" ht="11.85" customHeight="1" x14ac:dyDescent="0.2">
      <c r="A51" s="23">
        <v>50</v>
      </c>
      <c r="B51" s="13">
        <v>31531</v>
      </c>
      <c r="C51" s="13">
        <v>25366</v>
      </c>
      <c r="D51" s="12" t="s">
        <v>81</v>
      </c>
      <c r="E51" s="9">
        <v>0</v>
      </c>
      <c r="F51" s="9">
        <v>1188378</v>
      </c>
      <c r="G51" s="9">
        <v>0</v>
      </c>
      <c r="H51" s="9">
        <v>0</v>
      </c>
      <c r="I51" s="9">
        <v>7385400</v>
      </c>
      <c r="J51" s="10">
        <v>0</v>
      </c>
      <c r="K51" s="9">
        <v>0</v>
      </c>
      <c r="L51" s="9">
        <v>0</v>
      </c>
      <c r="M51" s="9">
        <v>22854456</v>
      </c>
      <c r="N51" s="9">
        <v>0</v>
      </c>
      <c r="O51" s="9">
        <v>0</v>
      </c>
      <c r="P51" s="9">
        <v>0</v>
      </c>
      <c r="Q51" s="9">
        <v>31428234</v>
      </c>
      <c r="R51" s="8">
        <v>0</v>
      </c>
      <c r="S51" s="8">
        <v>184500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215462</v>
      </c>
      <c r="Z51" s="8">
        <v>5816843.9501900002</v>
      </c>
      <c r="AA51" s="8">
        <v>0</v>
      </c>
      <c r="AB51" s="8">
        <v>0</v>
      </c>
      <c r="AC51" s="8">
        <v>0</v>
      </c>
      <c r="AD51" s="11">
        <v>6216805.9501900002</v>
      </c>
      <c r="AE51" s="14">
        <v>0.197809585807144</v>
      </c>
    </row>
    <row r="52" spans="1:31" ht="11.85" customHeight="1" x14ac:dyDescent="0.2">
      <c r="A52" s="23">
        <v>51</v>
      </c>
      <c r="B52" s="16">
        <v>31521</v>
      </c>
      <c r="C52" s="16">
        <v>25368</v>
      </c>
      <c r="D52" s="15" t="s">
        <v>82</v>
      </c>
      <c r="E52" s="9">
        <v>8222688</v>
      </c>
      <c r="F52" s="9">
        <v>334800</v>
      </c>
      <c r="G52" s="9">
        <v>0</v>
      </c>
      <c r="H52" s="9">
        <v>0</v>
      </c>
      <c r="I52" s="9">
        <v>2022192</v>
      </c>
      <c r="J52" s="10">
        <v>267840</v>
      </c>
      <c r="K52" s="9">
        <v>0</v>
      </c>
      <c r="L52" s="9">
        <v>0</v>
      </c>
      <c r="M52" s="9">
        <v>0</v>
      </c>
      <c r="N52" s="9">
        <v>575856</v>
      </c>
      <c r="O52" s="9">
        <v>401760</v>
      </c>
      <c r="P52" s="9">
        <v>0</v>
      </c>
      <c r="Q52" s="9">
        <v>11825136</v>
      </c>
      <c r="R52" s="8">
        <v>6305155.2699999996</v>
      </c>
      <c r="S52" s="8">
        <v>475000</v>
      </c>
      <c r="T52" s="8">
        <v>954545</v>
      </c>
      <c r="U52" s="8">
        <v>0</v>
      </c>
      <c r="V52" s="8">
        <v>0</v>
      </c>
      <c r="W52" s="8">
        <v>1361088.7734999999</v>
      </c>
      <c r="X52" s="8">
        <v>0</v>
      </c>
      <c r="Y52" s="8">
        <v>9091</v>
      </c>
      <c r="Z52" s="8">
        <v>748179.36681000004</v>
      </c>
      <c r="AA52" s="8">
        <v>0</v>
      </c>
      <c r="AB52" s="8">
        <v>0</v>
      </c>
      <c r="AC52" s="8">
        <v>0</v>
      </c>
      <c r="AD52" s="11">
        <v>9853059.4103100002</v>
      </c>
      <c r="AE52" s="18">
        <v>0.90832369152672687</v>
      </c>
    </row>
    <row r="53" spans="1:31" ht="11.85" customHeight="1" x14ac:dyDescent="0.2">
      <c r="A53" s="23">
        <v>52</v>
      </c>
      <c r="B53" s="13">
        <v>31522</v>
      </c>
      <c r="C53" s="13">
        <v>25369</v>
      </c>
      <c r="D53" s="12" t="s">
        <v>83</v>
      </c>
      <c r="E53" s="9">
        <v>0</v>
      </c>
      <c r="F53" s="9">
        <v>93744</v>
      </c>
      <c r="G53" s="9">
        <v>0</v>
      </c>
      <c r="H53" s="9">
        <v>0</v>
      </c>
      <c r="I53" s="9">
        <v>555768</v>
      </c>
      <c r="J53" s="10">
        <v>73656</v>
      </c>
      <c r="K53" s="9">
        <v>0</v>
      </c>
      <c r="L53" s="9">
        <v>0</v>
      </c>
      <c r="M53" s="9">
        <v>0</v>
      </c>
      <c r="N53" s="9">
        <v>160704</v>
      </c>
      <c r="O53" s="9">
        <v>113832</v>
      </c>
      <c r="P53" s="9">
        <v>0</v>
      </c>
      <c r="Q53" s="9">
        <v>997704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97143.728310000006</v>
      </c>
      <c r="AA53" s="8">
        <v>0</v>
      </c>
      <c r="AB53" s="8">
        <v>0</v>
      </c>
      <c r="AC53" s="8">
        <v>0</v>
      </c>
      <c r="AD53" s="11">
        <v>97143.728310000006</v>
      </c>
      <c r="AE53" s="14">
        <v>0.13433078940163282</v>
      </c>
    </row>
    <row r="54" spans="1:31" ht="11.85" customHeight="1" x14ac:dyDescent="0.2">
      <c r="A54" s="23">
        <v>53</v>
      </c>
      <c r="B54" s="16">
        <v>31546</v>
      </c>
      <c r="C54" s="16">
        <v>25433</v>
      </c>
      <c r="D54" s="15" t="s">
        <v>84</v>
      </c>
      <c r="E54" s="9">
        <v>1854200</v>
      </c>
      <c r="F54" s="9">
        <v>292634</v>
      </c>
      <c r="G54" s="9">
        <v>0</v>
      </c>
      <c r="H54" s="9">
        <v>0</v>
      </c>
      <c r="I54" s="9">
        <v>1903986</v>
      </c>
      <c r="J54" s="10">
        <v>66225</v>
      </c>
      <c r="K54" s="9">
        <v>0</v>
      </c>
      <c r="L54" s="9">
        <v>74503</v>
      </c>
      <c r="M54" s="9">
        <v>1240561</v>
      </c>
      <c r="N54" s="9">
        <v>0</v>
      </c>
      <c r="O54" s="9">
        <v>0</v>
      </c>
      <c r="P54" s="9">
        <v>0</v>
      </c>
      <c r="Q54" s="9">
        <v>5432109</v>
      </c>
      <c r="R54" s="8">
        <v>1056035.01</v>
      </c>
      <c r="S54" s="8">
        <v>919500</v>
      </c>
      <c r="T54" s="8">
        <v>0</v>
      </c>
      <c r="U54" s="8">
        <v>0</v>
      </c>
      <c r="V54" s="8">
        <v>1879267.5</v>
      </c>
      <c r="W54" s="8">
        <v>0</v>
      </c>
      <c r="X54" s="8">
        <v>0</v>
      </c>
      <c r="Y54" s="8">
        <v>0</v>
      </c>
      <c r="Z54" s="8">
        <v>495991.76405</v>
      </c>
      <c r="AA54" s="8">
        <v>0</v>
      </c>
      <c r="AB54" s="8">
        <v>0</v>
      </c>
      <c r="AC54" s="8">
        <v>0</v>
      </c>
      <c r="AD54" s="11">
        <v>4350794.2740500001</v>
      </c>
      <c r="AE54" s="18">
        <v>0.80094016413330449</v>
      </c>
    </row>
    <row r="55" spans="1:31" ht="11.85" customHeight="1" x14ac:dyDescent="0.2">
      <c r="A55" s="23">
        <v>54</v>
      </c>
      <c r="B55" s="13">
        <v>31552</v>
      </c>
      <c r="C55" s="13">
        <v>25445</v>
      </c>
      <c r="D55" s="12" t="s">
        <v>64</v>
      </c>
      <c r="E55" s="9">
        <v>0</v>
      </c>
      <c r="F55" s="9">
        <v>750000</v>
      </c>
      <c r="G55" s="9">
        <v>0</v>
      </c>
      <c r="H55" s="9">
        <v>0</v>
      </c>
      <c r="I55" s="9">
        <v>2250000</v>
      </c>
      <c r="J55" s="10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3000000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300125.82802999998</v>
      </c>
      <c r="AA55" s="8">
        <v>0</v>
      </c>
      <c r="AB55" s="8">
        <v>0</v>
      </c>
      <c r="AC55" s="8">
        <v>0</v>
      </c>
      <c r="AD55" s="11">
        <v>300125.82802999998</v>
      </c>
      <c r="AE55" s="14">
        <v>0.10004194267666666</v>
      </c>
    </row>
    <row r="56" spans="1:31" ht="11.85" customHeight="1" x14ac:dyDescent="0.2">
      <c r="A56" s="23">
        <v>55</v>
      </c>
      <c r="B56" s="16">
        <v>31551</v>
      </c>
      <c r="C56" s="16">
        <v>25404</v>
      </c>
      <c r="D56" s="15" t="s">
        <v>85</v>
      </c>
      <c r="E56" s="9">
        <v>45078288</v>
      </c>
      <c r="F56" s="9">
        <v>988650</v>
      </c>
      <c r="G56" s="9">
        <v>0</v>
      </c>
      <c r="H56" s="9">
        <v>0</v>
      </c>
      <c r="I56" s="9">
        <v>14500200</v>
      </c>
      <c r="J56" s="10">
        <v>988650</v>
      </c>
      <c r="K56" s="9">
        <v>0</v>
      </c>
      <c r="L56" s="9">
        <v>790920</v>
      </c>
      <c r="M56" s="9">
        <v>17540958</v>
      </c>
      <c r="N56" s="9">
        <v>2372760</v>
      </c>
      <c r="O56" s="9">
        <v>0</v>
      </c>
      <c r="P56" s="9">
        <v>0</v>
      </c>
      <c r="Q56" s="9">
        <v>82260426</v>
      </c>
      <c r="R56" s="8">
        <v>0</v>
      </c>
      <c r="S56" s="8">
        <v>972000</v>
      </c>
      <c r="T56" s="8">
        <v>0</v>
      </c>
      <c r="U56" s="8">
        <v>0</v>
      </c>
      <c r="V56" s="8">
        <v>7098598.5</v>
      </c>
      <c r="W56" s="8">
        <v>0</v>
      </c>
      <c r="X56" s="8">
        <v>0</v>
      </c>
      <c r="Y56" s="8">
        <v>4965455</v>
      </c>
      <c r="Z56" s="8">
        <v>8538372.3668499999</v>
      </c>
      <c r="AA56" s="8">
        <v>0</v>
      </c>
      <c r="AB56" s="8">
        <v>0</v>
      </c>
      <c r="AC56" s="8">
        <v>0</v>
      </c>
      <c r="AD56" s="11">
        <v>21574425.86685</v>
      </c>
      <c r="AE56" s="14">
        <v>0.27005953418203504</v>
      </c>
    </row>
    <row r="57" spans="1:31" ht="11.85" customHeight="1" x14ac:dyDescent="0.2">
      <c r="A57" s="23">
        <v>56</v>
      </c>
      <c r="B57" s="16">
        <v>31567</v>
      </c>
      <c r="C57" s="16">
        <v>25374</v>
      </c>
      <c r="D57" s="15" t="s">
        <v>86</v>
      </c>
      <c r="E57" s="9">
        <v>0</v>
      </c>
      <c r="F57" s="9">
        <v>1000000</v>
      </c>
      <c r="G57" s="9">
        <v>0</v>
      </c>
      <c r="H57" s="9">
        <v>0</v>
      </c>
      <c r="I57" s="9">
        <v>3500000</v>
      </c>
      <c r="J57" s="10">
        <v>170000</v>
      </c>
      <c r="K57" s="9">
        <v>0</v>
      </c>
      <c r="L57" s="9">
        <v>0</v>
      </c>
      <c r="M57" s="9">
        <v>500000</v>
      </c>
      <c r="N57" s="9">
        <v>380000</v>
      </c>
      <c r="O57" s="9">
        <v>0</v>
      </c>
      <c r="P57" s="9">
        <v>0</v>
      </c>
      <c r="Q57" s="9">
        <v>5550000</v>
      </c>
      <c r="R57" s="8">
        <v>0</v>
      </c>
      <c r="S57" s="8">
        <v>350000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298805.24907999998</v>
      </c>
      <c r="AA57" s="8">
        <v>0</v>
      </c>
      <c r="AB57" s="8">
        <v>0</v>
      </c>
      <c r="AC57" s="8">
        <v>0</v>
      </c>
      <c r="AD57" s="11">
        <v>648805.24907999998</v>
      </c>
      <c r="AE57" s="14">
        <v>0.12549424547001933</v>
      </c>
    </row>
    <row r="58" spans="1:31" ht="11.85" customHeight="1" x14ac:dyDescent="0.2">
      <c r="A58" s="23">
        <v>57</v>
      </c>
      <c r="B58" s="13">
        <v>31568</v>
      </c>
      <c r="C58" s="13">
        <v>25443</v>
      </c>
      <c r="D58" s="12" t="s">
        <v>87</v>
      </c>
      <c r="E58" s="9">
        <v>0</v>
      </c>
      <c r="F58" s="9">
        <v>0</v>
      </c>
      <c r="G58" s="9">
        <v>0</v>
      </c>
      <c r="H58" s="9">
        <v>0</v>
      </c>
      <c r="I58" s="9">
        <v>5758787</v>
      </c>
      <c r="J58" s="10">
        <v>680000</v>
      </c>
      <c r="K58" s="9">
        <v>0</v>
      </c>
      <c r="L58" s="9">
        <v>0</v>
      </c>
      <c r="M58" s="9">
        <v>3685000</v>
      </c>
      <c r="N58" s="9">
        <v>0</v>
      </c>
      <c r="O58" s="9">
        <v>0</v>
      </c>
      <c r="P58" s="9">
        <v>0</v>
      </c>
      <c r="Q58" s="9">
        <v>10123787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1740202.4912099999</v>
      </c>
      <c r="AA58" s="8">
        <v>0</v>
      </c>
      <c r="AB58" s="8">
        <v>0</v>
      </c>
      <c r="AC58" s="8">
        <v>0</v>
      </c>
      <c r="AD58" s="11">
        <v>1740202.4912099999</v>
      </c>
      <c r="AE58" s="14">
        <v>0.17189244412293539</v>
      </c>
    </row>
    <row r="59" spans="1:31" ht="11.85" customHeight="1" x14ac:dyDescent="0.2">
      <c r="A59" s="23">
        <v>58</v>
      </c>
      <c r="B59" s="16">
        <v>31575</v>
      </c>
      <c r="C59" s="16">
        <v>25361</v>
      </c>
      <c r="D59" s="15" t="s">
        <v>88</v>
      </c>
      <c r="E59" s="9">
        <v>0</v>
      </c>
      <c r="F59" s="9">
        <v>0</v>
      </c>
      <c r="G59" s="9">
        <v>0</v>
      </c>
      <c r="H59" s="9">
        <v>0</v>
      </c>
      <c r="I59" s="9">
        <v>900000</v>
      </c>
      <c r="J59" s="10">
        <v>150000</v>
      </c>
      <c r="K59" s="9">
        <v>0</v>
      </c>
      <c r="L59" s="9">
        <v>0</v>
      </c>
      <c r="M59" s="9">
        <v>189000</v>
      </c>
      <c r="N59" s="9">
        <v>0</v>
      </c>
      <c r="O59" s="9">
        <v>0</v>
      </c>
      <c r="P59" s="9">
        <v>0</v>
      </c>
      <c r="Q59" s="9">
        <v>1239000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50904.352330000002</v>
      </c>
      <c r="AA59" s="8">
        <v>0</v>
      </c>
      <c r="AB59" s="8">
        <v>0</v>
      </c>
      <c r="AC59" s="8">
        <v>0</v>
      </c>
      <c r="AD59" s="11">
        <v>50904.352330000002</v>
      </c>
      <c r="AE59" s="14">
        <v>4.1085030129136398E-2</v>
      </c>
    </row>
    <row r="60" spans="1:31" ht="11.85" customHeight="1" x14ac:dyDescent="0.2">
      <c r="A60" s="23">
        <v>59</v>
      </c>
      <c r="B60" s="13">
        <v>31579</v>
      </c>
      <c r="C60" s="13">
        <v>25517</v>
      </c>
      <c r="D60" s="12" t="s">
        <v>89</v>
      </c>
      <c r="E60" s="9">
        <v>0</v>
      </c>
      <c r="F60" s="9">
        <v>284720</v>
      </c>
      <c r="G60" s="9">
        <v>0</v>
      </c>
      <c r="H60" s="9">
        <v>0</v>
      </c>
      <c r="I60" s="9">
        <v>773520</v>
      </c>
      <c r="J60" s="10">
        <v>322300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1380540</v>
      </c>
      <c r="R60" s="8">
        <v>0</v>
      </c>
      <c r="S60" s="8">
        <v>303000</v>
      </c>
      <c r="T60" s="8">
        <v>0</v>
      </c>
      <c r="U60" s="8">
        <v>0</v>
      </c>
      <c r="V60" s="8">
        <v>1775390.6</v>
      </c>
      <c r="W60" s="8">
        <v>366596.53022999997</v>
      </c>
      <c r="X60" s="8">
        <v>0</v>
      </c>
      <c r="Y60" s="8">
        <v>1350780</v>
      </c>
      <c r="Z60" s="8">
        <v>85363.490309999994</v>
      </c>
      <c r="AA60" s="8">
        <v>0</v>
      </c>
      <c r="AB60" s="8">
        <v>0</v>
      </c>
      <c r="AC60" s="8">
        <v>0</v>
      </c>
      <c r="AD60" s="11">
        <v>3881130.62054</v>
      </c>
      <c r="AE60" s="19">
        <v>2.8113134139829343</v>
      </c>
    </row>
    <row r="61" spans="1:31" ht="11.85" customHeight="1" x14ac:dyDescent="0.2">
      <c r="A61" s="23">
        <v>60</v>
      </c>
      <c r="B61" s="13">
        <v>31581</v>
      </c>
      <c r="C61" s="13">
        <v>25523</v>
      </c>
      <c r="D61" s="12" t="s">
        <v>90</v>
      </c>
      <c r="E61" s="9">
        <v>0</v>
      </c>
      <c r="F61" s="9">
        <v>757405</v>
      </c>
      <c r="G61" s="9">
        <v>0</v>
      </c>
      <c r="H61" s="9">
        <v>0</v>
      </c>
      <c r="I61" s="9">
        <v>7880235</v>
      </c>
      <c r="J61" s="10">
        <v>841203</v>
      </c>
      <c r="K61" s="9">
        <v>0</v>
      </c>
      <c r="L61" s="9">
        <v>0</v>
      </c>
      <c r="M61" s="9">
        <v>14061949</v>
      </c>
      <c r="N61" s="9">
        <v>0</v>
      </c>
      <c r="O61" s="9">
        <v>0</v>
      </c>
      <c r="P61" s="9">
        <v>0</v>
      </c>
      <c r="Q61" s="9">
        <v>23540792</v>
      </c>
      <c r="R61" s="8">
        <v>0</v>
      </c>
      <c r="S61" s="8">
        <v>360000</v>
      </c>
      <c r="T61" s="8">
        <v>2590909</v>
      </c>
      <c r="U61" s="8">
        <v>0</v>
      </c>
      <c r="V61" s="8">
        <v>12806657.960000001</v>
      </c>
      <c r="W61" s="8">
        <v>0</v>
      </c>
      <c r="X61" s="8">
        <v>0</v>
      </c>
      <c r="Y61" s="8">
        <v>3781818</v>
      </c>
      <c r="Z61" s="8">
        <v>2495320.8488599998</v>
      </c>
      <c r="AA61" s="8">
        <v>0</v>
      </c>
      <c r="AB61" s="8">
        <v>0</v>
      </c>
      <c r="AC61" s="8">
        <v>0</v>
      </c>
      <c r="AD61" s="11">
        <v>22034705.80886</v>
      </c>
      <c r="AE61" s="18">
        <v>0.93602228034044055</v>
      </c>
    </row>
    <row r="62" spans="1:31" ht="11.85" customHeight="1" x14ac:dyDescent="0.2">
      <c r="A62" s="23">
        <v>61</v>
      </c>
      <c r="B62" s="16">
        <v>31585</v>
      </c>
      <c r="C62" s="16">
        <v>25425</v>
      </c>
      <c r="D62" s="15" t="s">
        <v>91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10">
        <v>0</v>
      </c>
      <c r="K62" s="9">
        <v>0</v>
      </c>
      <c r="L62" s="9">
        <v>0</v>
      </c>
      <c r="M62" s="9">
        <v>607600</v>
      </c>
      <c r="N62" s="9">
        <v>0</v>
      </c>
      <c r="O62" s="9">
        <v>0</v>
      </c>
      <c r="P62" s="9">
        <v>0</v>
      </c>
      <c r="Q62" s="9">
        <v>607600</v>
      </c>
      <c r="R62" s="8">
        <v>0</v>
      </c>
      <c r="S62" s="8">
        <v>135000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179472</v>
      </c>
      <c r="Z62" s="8">
        <v>198971.36338</v>
      </c>
      <c r="AA62" s="8">
        <v>0</v>
      </c>
      <c r="AB62" s="8">
        <v>0</v>
      </c>
      <c r="AC62" s="8">
        <v>0</v>
      </c>
      <c r="AD62" s="11">
        <v>513443.36338</v>
      </c>
      <c r="AE62" s="18">
        <v>0.84503516026991432</v>
      </c>
    </row>
    <row r="63" spans="1:31" ht="11.85" customHeight="1" x14ac:dyDescent="0.2">
      <c r="A63" s="23">
        <v>62</v>
      </c>
      <c r="B63" s="13">
        <v>31595</v>
      </c>
      <c r="C63" s="13">
        <v>25398</v>
      </c>
      <c r="D63" s="12" t="s">
        <v>92</v>
      </c>
      <c r="E63" s="9">
        <v>19828152</v>
      </c>
      <c r="F63" s="9">
        <v>0</v>
      </c>
      <c r="G63" s="9">
        <v>0</v>
      </c>
      <c r="H63" s="9">
        <v>0</v>
      </c>
      <c r="I63" s="9">
        <v>10217750</v>
      </c>
      <c r="J63" s="10">
        <v>1117310</v>
      </c>
      <c r="K63" s="9">
        <v>0</v>
      </c>
      <c r="L63" s="9">
        <v>0</v>
      </c>
      <c r="M63" s="9">
        <v>15378561</v>
      </c>
      <c r="N63" s="9">
        <v>11534004</v>
      </c>
      <c r="O63" s="9">
        <v>0</v>
      </c>
      <c r="P63" s="9">
        <v>0</v>
      </c>
      <c r="Q63" s="9">
        <v>58075777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4748182</v>
      </c>
      <c r="Z63" s="8">
        <v>10458642.298930001</v>
      </c>
      <c r="AA63" s="8">
        <v>0</v>
      </c>
      <c r="AB63" s="8">
        <v>0</v>
      </c>
      <c r="AC63" s="8">
        <v>0</v>
      </c>
      <c r="AD63" s="11">
        <v>15206824.298930001</v>
      </c>
      <c r="AE63" s="14">
        <v>0.32673495912865208</v>
      </c>
    </row>
    <row r="64" spans="1:31" ht="11.85" customHeight="1" x14ac:dyDescent="0.2">
      <c r="A64" s="23">
        <v>63</v>
      </c>
      <c r="B64" s="16">
        <v>31596</v>
      </c>
      <c r="C64" s="16">
        <v>25370</v>
      </c>
      <c r="D64" s="15" t="s">
        <v>93</v>
      </c>
      <c r="E64" s="9">
        <v>0</v>
      </c>
      <c r="F64" s="9">
        <v>496910</v>
      </c>
      <c r="G64" s="9">
        <v>0</v>
      </c>
      <c r="H64" s="9">
        <v>0</v>
      </c>
      <c r="I64" s="9">
        <v>803520</v>
      </c>
      <c r="J64" s="10">
        <v>0</v>
      </c>
      <c r="K64" s="9">
        <v>0</v>
      </c>
      <c r="L64" s="9">
        <v>0</v>
      </c>
      <c r="M64" s="9">
        <v>200880</v>
      </c>
      <c r="N64" s="9">
        <v>0</v>
      </c>
      <c r="O64" s="9">
        <v>0</v>
      </c>
      <c r="P64" s="9">
        <v>0</v>
      </c>
      <c r="Q64" s="9">
        <v>1501310</v>
      </c>
      <c r="R64" s="8">
        <v>0</v>
      </c>
      <c r="S64" s="8">
        <v>180000</v>
      </c>
      <c r="T64" s="8">
        <v>0</v>
      </c>
      <c r="U64" s="8">
        <v>0</v>
      </c>
      <c r="V64" s="8">
        <v>318710</v>
      </c>
      <c r="W64" s="8">
        <v>0</v>
      </c>
      <c r="X64" s="8">
        <v>0</v>
      </c>
      <c r="Y64" s="8">
        <v>75000</v>
      </c>
      <c r="Z64" s="8">
        <v>46690.764080000001</v>
      </c>
      <c r="AA64" s="8">
        <v>0</v>
      </c>
      <c r="AB64" s="8">
        <v>0</v>
      </c>
      <c r="AC64" s="8">
        <v>0</v>
      </c>
      <c r="AD64" s="11">
        <v>620400.76407999999</v>
      </c>
      <c r="AE64" s="14">
        <v>0.41323961345758037</v>
      </c>
    </row>
    <row r="65" spans="1:31" ht="11.85" customHeight="1" x14ac:dyDescent="0.2">
      <c r="A65" s="23">
        <v>64</v>
      </c>
      <c r="B65" s="13">
        <v>31601</v>
      </c>
      <c r="C65" s="13">
        <v>25377</v>
      </c>
      <c r="D65" s="12" t="s">
        <v>94</v>
      </c>
      <c r="E65" s="9">
        <v>0</v>
      </c>
      <c r="F65" s="9">
        <v>0</v>
      </c>
      <c r="G65" s="9">
        <v>0</v>
      </c>
      <c r="H65" s="9">
        <v>0</v>
      </c>
      <c r="I65" s="9">
        <v>1005750</v>
      </c>
      <c r="J65" s="10">
        <v>502875</v>
      </c>
      <c r="K65" s="9">
        <v>167625</v>
      </c>
      <c r="L65" s="9">
        <v>0</v>
      </c>
      <c r="M65" s="9">
        <v>536400</v>
      </c>
      <c r="N65" s="9">
        <v>402300</v>
      </c>
      <c r="O65" s="9">
        <v>0</v>
      </c>
      <c r="P65" s="9">
        <v>0</v>
      </c>
      <c r="Q65" s="9">
        <v>2614950</v>
      </c>
      <c r="R65" s="8">
        <v>0</v>
      </c>
      <c r="S65" s="8">
        <v>177000</v>
      </c>
      <c r="T65" s="8">
        <v>0</v>
      </c>
      <c r="U65" s="8">
        <v>25454545</v>
      </c>
      <c r="V65" s="8">
        <v>996575</v>
      </c>
      <c r="W65" s="8">
        <v>286855.23349999997</v>
      </c>
      <c r="X65" s="8">
        <v>0</v>
      </c>
      <c r="Y65" s="8">
        <v>25722091</v>
      </c>
      <c r="Z65" s="8">
        <v>363329.44929999998</v>
      </c>
      <c r="AA65" s="8">
        <v>0</v>
      </c>
      <c r="AB65" s="8">
        <v>0</v>
      </c>
      <c r="AC65" s="8">
        <v>0</v>
      </c>
      <c r="AD65" s="11">
        <v>53000395.682800002</v>
      </c>
      <c r="AE65" s="19">
        <v>23.95335714315414</v>
      </c>
    </row>
    <row r="66" spans="1:31" ht="11.85" customHeight="1" x14ac:dyDescent="0.2">
      <c r="A66" s="23">
        <v>65</v>
      </c>
      <c r="B66" s="16">
        <v>31605</v>
      </c>
      <c r="C66" s="16">
        <v>25442</v>
      </c>
      <c r="D66" s="15" t="s">
        <v>95</v>
      </c>
      <c r="E66" s="9">
        <v>46327261</v>
      </c>
      <c r="F66" s="9">
        <v>5319576</v>
      </c>
      <c r="G66" s="9">
        <v>1618250</v>
      </c>
      <c r="H66" s="9">
        <v>0</v>
      </c>
      <c r="I66" s="9">
        <v>7967227</v>
      </c>
      <c r="J66" s="10">
        <v>6128636</v>
      </c>
      <c r="K66" s="9">
        <v>0</v>
      </c>
      <c r="L66" s="9">
        <v>0</v>
      </c>
      <c r="M66" s="9">
        <v>24556426</v>
      </c>
      <c r="N66" s="9">
        <v>0</v>
      </c>
      <c r="O66" s="9">
        <v>0</v>
      </c>
      <c r="P66" s="9">
        <v>0</v>
      </c>
      <c r="Q66" s="9">
        <v>91917376</v>
      </c>
      <c r="R66" s="8">
        <v>5025541.34</v>
      </c>
      <c r="S66" s="8">
        <v>2989500</v>
      </c>
      <c r="T66" s="8">
        <v>6545454</v>
      </c>
      <c r="U66" s="8">
        <v>0</v>
      </c>
      <c r="V66" s="8">
        <v>55852874.689999998</v>
      </c>
      <c r="W66" s="8">
        <v>14033050.48471</v>
      </c>
      <c r="X66" s="8">
        <v>0</v>
      </c>
      <c r="Y66" s="8">
        <v>26658260.475000001</v>
      </c>
      <c r="Z66" s="8">
        <v>11953255.26983</v>
      </c>
      <c r="AA66" s="8">
        <v>0</v>
      </c>
      <c r="AB66" s="8">
        <v>0</v>
      </c>
      <c r="AC66" s="8">
        <v>0</v>
      </c>
      <c r="AD66" s="11">
        <v>123057936.25954001</v>
      </c>
      <c r="AE66" s="19">
        <v>1.3387886122808814</v>
      </c>
    </row>
    <row r="67" spans="1:31" ht="11.85" customHeight="1" x14ac:dyDescent="0.2">
      <c r="A67" s="23">
        <v>66</v>
      </c>
      <c r="B67" s="13">
        <v>31620</v>
      </c>
      <c r="C67" s="13">
        <v>25373</v>
      </c>
      <c r="D67" s="12" t="s">
        <v>96</v>
      </c>
      <c r="E67" s="9">
        <v>0</v>
      </c>
      <c r="F67" s="9">
        <v>0</v>
      </c>
      <c r="G67" s="9">
        <v>0</v>
      </c>
      <c r="H67" s="9">
        <v>0</v>
      </c>
      <c r="I67" s="9">
        <v>2016000</v>
      </c>
      <c r="J67" s="10">
        <v>1550000</v>
      </c>
      <c r="K67" s="9">
        <v>0</v>
      </c>
      <c r="L67" s="9">
        <v>0</v>
      </c>
      <c r="M67" s="9">
        <v>544100</v>
      </c>
      <c r="N67" s="9">
        <v>0</v>
      </c>
      <c r="O67" s="9">
        <v>0</v>
      </c>
      <c r="P67" s="9">
        <v>0</v>
      </c>
      <c r="Q67" s="9">
        <v>4110100</v>
      </c>
      <c r="R67" s="8">
        <v>0</v>
      </c>
      <c r="S67" s="8">
        <v>199500</v>
      </c>
      <c r="T67" s="8">
        <v>0</v>
      </c>
      <c r="U67" s="8">
        <v>0</v>
      </c>
      <c r="V67" s="8">
        <v>4828908.9000000004</v>
      </c>
      <c r="W67" s="8">
        <v>468247.74170000001</v>
      </c>
      <c r="X67" s="8">
        <v>0</v>
      </c>
      <c r="Y67" s="8">
        <v>0</v>
      </c>
      <c r="Z67" s="8">
        <v>138567.03255</v>
      </c>
      <c r="AA67" s="8">
        <v>0</v>
      </c>
      <c r="AB67" s="8">
        <v>0</v>
      </c>
      <c r="AC67" s="8">
        <v>0</v>
      </c>
      <c r="AD67" s="11">
        <v>5635223.6742500002</v>
      </c>
      <c r="AE67" s="19">
        <v>1.371067291367607</v>
      </c>
    </row>
    <row r="68" spans="1:31" ht="11.85" customHeight="1" x14ac:dyDescent="0.2">
      <c r="A68" s="23">
        <v>67</v>
      </c>
      <c r="B68" s="16">
        <v>31616</v>
      </c>
      <c r="C68" s="16">
        <v>25534</v>
      </c>
      <c r="D68" s="15" t="s">
        <v>97</v>
      </c>
      <c r="E68" s="9">
        <v>0</v>
      </c>
      <c r="F68" s="9">
        <v>2869240</v>
      </c>
      <c r="G68" s="9">
        <v>0</v>
      </c>
      <c r="H68" s="9">
        <v>0</v>
      </c>
      <c r="I68" s="9">
        <v>38914068</v>
      </c>
      <c r="J68" s="10">
        <v>3113125</v>
      </c>
      <c r="K68" s="9">
        <v>0</v>
      </c>
      <c r="L68" s="9">
        <v>0</v>
      </c>
      <c r="M68" s="9">
        <v>26746012</v>
      </c>
      <c r="N68" s="9">
        <v>0</v>
      </c>
      <c r="O68" s="9">
        <v>0</v>
      </c>
      <c r="P68" s="9">
        <v>0</v>
      </c>
      <c r="Q68" s="9">
        <v>71642445</v>
      </c>
      <c r="R68" s="8">
        <v>0</v>
      </c>
      <c r="S68" s="8">
        <v>679500</v>
      </c>
      <c r="T68" s="8">
        <v>0</v>
      </c>
      <c r="U68" s="8">
        <v>0</v>
      </c>
      <c r="V68" s="8">
        <v>0</v>
      </c>
      <c r="W68" s="8">
        <v>1120229.4257</v>
      </c>
      <c r="X68" s="8">
        <v>0</v>
      </c>
      <c r="Y68" s="8">
        <v>2474287</v>
      </c>
      <c r="Z68" s="8">
        <v>5843771.3820700003</v>
      </c>
      <c r="AA68" s="8">
        <v>0</v>
      </c>
      <c r="AB68" s="8">
        <v>0</v>
      </c>
      <c r="AC68" s="8">
        <v>0</v>
      </c>
      <c r="AD68" s="11">
        <v>10117787.807770001</v>
      </c>
      <c r="AE68" s="14">
        <v>0.14122616568669594</v>
      </c>
    </row>
    <row r="69" spans="1:31" ht="11.85" customHeight="1" x14ac:dyDescent="0.2">
      <c r="A69" s="23">
        <v>68</v>
      </c>
      <c r="B69" s="13">
        <v>31627</v>
      </c>
      <c r="C69" s="13">
        <v>25375</v>
      </c>
      <c r="D69" s="12" t="s">
        <v>98</v>
      </c>
      <c r="E69" s="9">
        <v>0</v>
      </c>
      <c r="F69" s="9">
        <v>729705</v>
      </c>
      <c r="G69" s="9">
        <v>0</v>
      </c>
      <c r="H69" s="9">
        <v>0</v>
      </c>
      <c r="I69" s="9">
        <v>1591700</v>
      </c>
      <c r="J69" s="10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2321405</v>
      </c>
      <c r="R69" s="8">
        <v>0</v>
      </c>
      <c r="S69" s="8">
        <v>60000</v>
      </c>
      <c r="T69" s="8">
        <v>0</v>
      </c>
      <c r="U69" s="8">
        <v>0</v>
      </c>
      <c r="V69" s="8">
        <v>410032</v>
      </c>
      <c r="W69" s="8">
        <v>0</v>
      </c>
      <c r="X69" s="8">
        <v>0</v>
      </c>
      <c r="Y69" s="8">
        <v>1214545</v>
      </c>
      <c r="Z69" s="8">
        <v>73854.912150000004</v>
      </c>
      <c r="AA69" s="8">
        <v>0</v>
      </c>
      <c r="AB69" s="8">
        <v>0</v>
      </c>
      <c r="AC69" s="8">
        <v>0</v>
      </c>
      <c r="AD69" s="11">
        <v>1758431.91215</v>
      </c>
      <c r="AE69" s="18">
        <v>0.75748605355377452</v>
      </c>
    </row>
    <row r="70" spans="1:31" ht="11.85" customHeight="1" x14ac:dyDescent="0.2">
      <c r="A70" s="23">
        <v>69</v>
      </c>
      <c r="B70" s="16">
        <v>31628</v>
      </c>
      <c r="C70" s="16">
        <v>25376</v>
      </c>
      <c r="D70" s="15" t="s">
        <v>99</v>
      </c>
      <c r="E70" s="9">
        <v>0</v>
      </c>
      <c r="F70" s="9">
        <v>718776</v>
      </c>
      <c r="G70" s="9">
        <v>0</v>
      </c>
      <c r="H70" s="9">
        <v>0</v>
      </c>
      <c r="I70" s="9">
        <v>16533860</v>
      </c>
      <c r="J70" s="10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17252636</v>
      </c>
      <c r="R70" s="8">
        <v>0</v>
      </c>
      <c r="S70" s="8">
        <v>202500</v>
      </c>
      <c r="T70" s="8">
        <v>0</v>
      </c>
      <c r="U70" s="8">
        <v>0</v>
      </c>
      <c r="V70" s="8">
        <v>180000</v>
      </c>
      <c r="W70" s="8">
        <v>0</v>
      </c>
      <c r="X70" s="8">
        <v>0</v>
      </c>
      <c r="Y70" s="8">
        <v>800000</v>
      </c>
      <c r="Z70" s="8">
        <v>548887.91824000003</v>
      </c>
      <c r="AA70" s="8">
        <v>0</v>
      </c>
      <c r="AB70" s="8">
        <v>0</v>
      </c>
      <c r="AC70" s="8">
        <v>0</v>
      </c>
      <c r="AD70" s="11">
        <v>1731387.91824</v>
      </c>
      <c r="AE70" s="14">
        <v>0.10035497869658874</v>
      </c>
    </row>
    <row r="71" spans="1:31" ht="11.85" customHeight="1" x14ac:dyDescent="0.2">
      <c r="A71" s="23">
        <v>70</v>
      </c>
      <c r="B71" s="16">
        <v>31656</v>
      </c>
      <c r="C71" s="16">
        <v>25386</v>
      </c>
      <c r="D71" s="15" t="s">
        <v>100</v>
      </c>
      <c r="E71" s="9">
        <v>0</v>
      </c>
      <c r="F71" s="9">
        <v>0</v>
      </c>
      <c r="G71" s="9">
        <v>0</v>
      </c>
      <c r="H71" s="9">
        <v>0</v>
      </c>
      <c r="I71" s="9">
        <v>3400000</v>
      </c>
      <c r="J71" s="10">
        <v>0</v>
      </c>
      <c r="K71" s="9">
        <v>0</v>
      </c>
      <c r="L71" s="9">
        <v>0</v>
      </c>
      <c r="M71" s="9">
        <v>761600</v>
      </c>
      <c r="N71" s="9">
        <v>0</v>
      </c>
      <c r="O71" s="9">
        <v>0</v>
      </c>
      <c r="P71" s="9">
        <v>0</v>
      </c>
      <c r="Q71" s="9">
        <v>4161600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2400000</v>
      </c>
      <c r="Z71" s="8">
        <v>379659.96039999998</v>
      </c>
      <c r="AA71" s="8">
        <v>0</v>
      </c>
      <c r="AB71" s="8">
        <v>0</v>
      </c>
      <c r="AC71" s="8">
        <v>0</v>
      </c>
      <c r="AD71" s="11">
        <v>2779659.9604000002</v>
      </c>
      <c r="AE71" s="14">
        <v>0.6679305940984237</v>
      </c>
    </row>
    <row r="72" spans="1:31" ht="11.85" customHeight="1" x14ac:dyDescent="0.2">
      <c r="A72" s="23">
        <v>71</v>
      </c>
      <c r="B72" s="13">
        <v>31667</v>
      </c>
      <c r="C72" s="13">
        <v>25410</v>
      </c>
      <c r="D72" s="12" t="s">
        <v>101</v>
      </c>
      <c r="E72" s="9">
        <v>0</v>
      </c>
      <c r="F72" s="9">
        <v>150000</v>
      </c>
      <c r="G72" s="9">
        <v>0</v>
      </c>
      <c r="H72" s="9">
        <v>0</v>
      </c>
      <c r="I72" s="9">
        <v>450000</v>
      </c>
      <c r="J72" s="10">
        <v>89000</v>
      </c>
      <c r="K72" s="9">
        <v>0</v>
      </c>
      <c r="L72" s="9">
        <v>0</v>
      </c>
      <c r="M72" s="9">
        <v>585000</v>
      </c>
      <c r="N72" s="9">
        <v>0</v>
      </c>
      <c r="O72" s="9">
        <v>750000</v>
      </c>
      <c r="P72" s="9">
        <v>0</v>
      </c>
      <c r="Q72" s="9">
        <v>2024000</v>
      </c>
      <c r="R72" s="8">
        <v>0</v>
      </c>
      <c r="S72" s="8">
        <v>163500</v>
      </c>
      <c r="T72" s="8">
        <v>0</v>
      </c>
      <c r="U72" s="8">
        <v>0</v>
      </c>
      <c r="V72" s="8">
        <v>0</v>
      </c>
      <c r="W72" s="8">
        <v>194092.29920000001</v>
      </c>
      <c r="X72" s="8">
        <v>0</v>
      </c>
      <c r="Y72" s="8">
        <v>1138182</v>
      </c>
      <c r="Z72" s="8">
        <v>280484.85676</v>
      </c>
      <c r="AA72" s="8">
        <v>0</v>
      </c>
      <c r="AB72" s="8">
        <v>0</v>
      </c>
      <c r="AC72" s="8">
        <v>0</v>
      </c>
      <c r="AD72" s="11">
        <v>1776259.1559599999</v>
      </c>
      <c r="AE72" s="19">
        <v>1.3942379560125588</v>
      </c>
    </row>
    <row r="73" spans="1:31" ht="11.85" customHeight="1" x14ac:dyDescent="0.2">
      <c r="A73" s="23">
        <v>72</v>
      </c>
      <c r="B73" s="16">
        <v>31675</v>
      </c>
      <c r="C73" s="16">
        <v>25658</v>
      </c>
      <c r="D73" s="15" t="s">
        <v>102</v>
      </c>
      <c r="E73" s="9">
        <v>480513305</v>
      </c>
      <c r="F73" s="9">
        <v>60299400</v>
      </c>
      <c r="G73" s="9">
        <v>49753158</v>
      </c>
      <c r="H73" s="9">
        <v>0</v>
      </c>
      <c r="I73" s="9">
        <v>124419690</v>
      </c>
      <c r="J73" s="10">
        <v>19898802</v>
      </c>
      <c r="K73" s="9">
        <v>0</v>
      </c>
      <c r="L73" s="9">
        <v>34837486</v>
      </c>
      <c r="M73" s="9">
        <v>163849345</v>
      </c>
      <c r="N73" s="9">
        <v>10785840</v>
      </c>
      <c r="O73" s="9">
        <v>0</v>
      </c>
      <c r="P73" s="9">
        <v>0</v>
      </c>
      <c r="Q73" s="9">
        <v>944357026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37728720.816820003</v>
      </c>
      <c r="AA73" s="8">
        <v>0</v>
      </c>
      <c r="AB73" s="8">
        <v>0</v>
      </c>
      <c r="AC73" s="8">
        <v>0</v>
      </c>
      <c r="AD73" s="11">
        <v>37728720.816820003</v>
      </c>
      <c r="AE73" s="14">
        <v>4.0413330426866879E-2</v>
      </c>
    </row>
    <row r="74" spans="1:31" ht="11.85" customHeight="1" x14ac:dyDescent="0.2">
      <c r="A74" s="23">
        <v>73</v>
      </c>
      <c r="B74" s="16">
        <v>31680</v>
      </c>
      <c r="C74" s="16">
        <v>25407</v>
      </c>
      <c r="D74" s="15" t="s">
        <v>103</v>
      </c>
      <c r="E74" s="9">
        <v>0</v>
      </c>
      <c r="F74" s="9">
        <v>781100</v>
      </c>
      <c r="G74" s="9">
        <v>0</v>
      </c>
      <c r="H74" s="9">
        <v>0</v>
      </c>
      <c r="I74" s="9">
        <v>1642500</v>
      </c>
      <c r="J74" s="10">
        <v>335800</v>
      </c>
      <c r="K74" s="9">
        <v>0</v>
      </c>
      <c r="L74" s="9">
        <v>0</v>
      </c>
      <c r="M74" s="9">
        <v>262800</v>
      </c>
      <c r="N74" s="9">
        <v>0</v>
      </c>
      <c r="O74" s="9">
        <v>0</v>
      </c>
      <c r="P74" s="9">
        <v>0</v>
      </c>
      <c r="Q74" s="9">
        <v>3022200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210344.38602999999</v>
      </c>
      <c r="AA74" s="8">
        <v>0</v>
      </c>
      <c r="AB74" s="8">
        <v>0</v>
      </c>
      <c r="AC74" s="8">
        <v>0</v>
      </c>
      <c r="AD74" s="11">
        <v>210344.38602999999</v>
      </c>
      <c r="AE74" s="14">
        <v>6.9599757140493684E-2</v>
      </c>
    </row>
    <row r="75" spans="1:31" ht="11.85" customHeight="1" x14ac:dyDescent="0.2">
      <c r="A75" s="23">
        <v>74</v>
      </c>
      <c r="B75" s="13">
        <v>31695</v>
      </c>
      <c r="C75" s="13">
        <v>25493</v>
      </c>
      <c r="D75" s="12" t="s">
        <v>104</v>
      </c>
      <c r="E75" s="9">
        <v>0</v>
      </c>
      <c r="F75" s="9">
        <v>1445111</v>
      </c>
      <c r="G75" s="9">
        <v>4248247</v>
      </c>
      <c r="H75" s="9">
        <v>0</v>
      </c>
      <c r="I75" s="9">
        <v>43353329</v>
      </c>
      <c r="J75" s="10">
        <v>2890222</v>
      </c>
      <c r="K75" s="9">
        <v>0</v>
      </c>
      <c r="L75" s="9">
        <v>0</v>
      </c>
      <c r="M75" s="9">
        <v>25049554</v>
      </c>
      <c r="N75" s="9">
        <v>0</v>
      </c>
      <c r="O75" s="9">
        <v>0</v>
      </c>
      <c r="P75" s="9">
        <v>0</v>
      </c>
      <c r="Q75" s="9">
        <v>76986463</v>
      </c>
      <c r="R75" s="8">
        <v>0</v>
      </c>
      <c r="S75" s="8">
        <v>418500</v>
      </c>
      <c r="T75" s="8">
        <v>0</v>
      </c>
      <c r="U75" s="8">
        <v>0</v>
      </c>
      <c r="V75" s="8">
        <v>43911301.890000001</v>
      </c>
      <c r="W75" s="8">
        <v>3598774.7947</v>
      </c>
      <c r="X75" s="8">
        <v>0</v>
      </c>
      <c r="Y75" s="8">
        <v>0</v>
      </c>
      <c r="Z75" s="8">
        <v>4766729.6232799999</v>
      </c>
      <c r="AA75" s="8">
        <v>0</v>
      </c>
      <c r="AB75" s="8">
        <v>0</v>
      </c>
      <c r="AC75" s="8">
        <v>0</v>
      </c>
      <c r="AD75" s="11">
        <v>52695306.307980001</v>
      </c>
      <c r="AE75" s="14">
        <v>0.68447496163033239</v>
      </c>
    </row>
    <row r="76" spans="1:31" ht="11.85" customHeight="1" x14ac:dyDescent="0.2">
      <c r="A76" s="23">
        <v>75</v>
      </c>
      <c r="B76" s="13">
        <v>31692</v>
      </c>
      <c r="C76" s="13">
        <v>25409</v>
      </c>
      <c r="D76" s="12" t="s">
        <v>105</v>
      </c>
      <c r="E76" s="9">
        <v>0</v>
      </c>
      <c r="F76" s="9">
        <v>0</v>
      </c>
      <c r="G76" s="9">
        <v>0</v>
      </c>
      <c r="H76" s="9">
        <v>0</v>
      </c>
      <c r="I76" s="9">
        <v>300000</v>
      </c>
      <c r="J76" s="10">
        <v>0</v>
      </c>
      <c r="K76" s="9">
        <v>0</v>
      </c>
      <c r="L76" s="9">
        <v>0</v>
      </c>
      <c r="M76" s="9">
        <v>100000</v>
      </c>
      <c r="N76" s="9">
        <v>0</v>
      </c>
      <c r="O76" s="9">
        <v>750000</v>
      </c>
      <c r="P76" s="9">
        <v>0</v>
      </c>
      <c r="Q76" s="9">
        <v>1150000</v>
      </c>
      <c r="R76" s="8">
        <v>0</v>
      </c>
      <c r="S76" s="8">
        <v>0</v>
      </c>
      <c r="T76" s="8">
        <v>0</v>
      </c>
      <c r="U76" s="8">
        <v>0</v>
      </c>
      <c r="V76" s="8">
        <v>317550</v>
      </c>
      <c r="W76" s="8">
        <v>0</v>
      </c>
      <c r="X76" s="8">
        <v>0</v>
      </c>
      <c r="Y76" s="8">
        <v>649091</v>
      </c>
      <c r="Z76" s="8">
        <v>70567.648090000002</v>
      </c>
      <c r="AA76" s="8">
        <v>0</v>
      </c>
      <c r="AB76" s="8">
        <v>0</v>
      </c>
      <c r="AC76" s="8">
        <v>0</v>
      </c>
      <c r="AD76" s="11">
        <v>1037208.64809</v>
      </c>
      <c r="AE76" s="19">
        <v>2.593021620225</v>
      </c>
    </row>
    <row r="77" spans="1:31" ht="11.85" customHeight="1" x14ac:dyDescent="0.2">
      <c r="A77" s="23">
        <v>76</v>
      </c>
      <c r="B77" s="16">
        <v>31696</v>
      </c>
      <c r="C77" s="16">
        <v>25397</v>
      </c>
      <c r="D77" s="15" t="s">
        <v>106</v>
      </c>
      <c r="E77" s="9">
        <v>0</v>
      </c>
      <c r="F77" s="9">
        <v>606000</v>
      </c>
      <c r="G77" s="9">
        <v>0</v>
      </c>
      <c r="H77" s="9">
        <v>0</v>
      </c>
      <c r="I77" s="9">
        <v>0</v>
      </c>
      <c r="J77" s="10">
        <v>1500000</v>
      </c>
      <c r="K77" s="9">
        <v>0</v>
      </c>
      <c r="L77" s="9">
        <v>0</v>
      </c>
      <c r="M77" s="9">
        <v>1332000</v>
      </c>
      <c r="N77" s="9">
        <v>0</v>
      </c>
      <c r="O77" s="9">
        <v>0</v>
      </c>
      <c r="P77" s="9">
        <v>0</v>
      </c>
      <c r="Q77" s="9">
        <v>3438000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435506.93290000001</v>
      </c>
      <c r="X77" s="8">
        <v>0</v>
      </c>
      <c r="Y77" s="8">
        <v>0</v>
      </c>
      <c r="Z77" s="8">
        <v>447044.80158999999</v>
      </c>
      <c r="AA77" s="8">
        <v>0</v>
      </c>
      <c r="AB77" s="8">
        <v>0</v>
      </c>
      <c r="AC77" s="8">
        <v>0</v>
      </c>
      <c r="AD77" s="11">
        <v>882551.73448999994</v>
      </c>
      <c r="AE77" s="14">
        <v>0.25670498385398488</v>
      </c>
    </row>
    <row r="78" spans="1:31" ht="11.85" customHeight="1" x14ac:dyDescent="0.2">
      <c r="A78" s="23">
        <v>77</v>
      </c>
      <c r="B78" s="13">
        <v>31709</v>
      </c>
      <c r="C78" s="13">
        <v>25449</v>
      </c>
      <c r="D78" s="12" t="s">
        <v>107</v>
      </c>
      <c r="E78" s="9">
        <v>0</v>
      </c>
      <c r="F78" s="9">
        <v>455000</v>
      </c>
      <c r="G78" s="9">
        <v>0</v>
      </c>
      <c r="H78" s="9">
        <v>0</v>
      </c>
      <c r="I78" s="9">
        <v>0</v>
      </c>
      <c r="J78" s="10">
        <v>0</v>
      </c>
      <c r="K78" s="9">
        <v>0</v>
      </c>
      <c r="L78" s="9">
        <v>0</v>
      </c>
      <c r="M78" s="9">
        <v>425000</v>
      </c>
      <c r="N78" s="9">
        <v>0</v>
      </c>
      <c r="O78" s="9">
        <v>0</v>
      </c>
      <c r="P78" s="9">
        <v>0</v>
      </c>
      <c r="Q78" s="9">
        <v>880000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200000</v>
      </c>
      <c r="Z78" s="8">
        <v>418631.32485999999</v>
      </c>
      <c r="AA78" s="8">
        <v>0</v>
      </c>
      <c r="AB78" s="8">
        <v>0</v>
      </c>
      <c r="AC78" s="8">
        <v>0</v>
      </c>
      <c r="AD78" s="11">
        <v>618631.32486000005</v>
      </c>
      <c r="AE78" s="14">
        <v>0.70299014188636366</v>
      </c>
    </row>
    <row r="79" spans="1:31" ht="11.85" customHeight="1" x14ac:dyDescent="0.2">
      <c r="A79" s="23">
        <v>78</v>
      </c>
      <c r="B79" s="16">
        <v>31721</v>
      </c>
      <c r="C79" s="16">
        <v>25405</v>
      </c>
      <c r="D79" s="15" t="s">
        <v>108</v>
      </c>
      <c r="E79" s="9">
        <v>82756779</v>
      </c>
      <c r="F79" s="9">
        <v>878256</v>
      </c>
      <c r="G79" s="9">
        <v>0</v>
      </c>
      <c r="H79" s="9">
        <v>0</v>
      </c>
      <c r="I79" s="9">
        <v>10000000</v>
      </c>
      <c r="J79" s="10">
        <v>502240</v>
      </c>
      <c r="K79" s="9">
        <v>0</v>
      </c>
      <c r="L79" s="9">
        <v>502240</v>
      </c>
      <c r="M79" s="9">
        <v>5517474</v>
      </c>
      <c r="N79" s="9">
        <v>0</v>
      </c>
      <c r="O79" s="9">
        <v>0</v>
      </c>
      <c r="P79" s="9">
        <v>0</v>
      </c>
      <c r="Q79" s="9">
        <v>100156989</v>
      </c>
      <c r="R79" s="8">
        <v>71242589.219999999</v>
      </c>
      <c r="S79" s="8">
        <v>576000</v>
      </c>
      <c r="T79" s="8">
        <v>0</v>
      </c>
      <c r="U79" s="8">
        <v>0</v>
      </c>
      <c r="V79" s="8">
        <v>1524490.7</v>
      </c>
      <c r="W79" s="8">
        <v>3296956.7982299998</v>
      </c>
      <c r="X79" s="8">
        <v>0</v>
      </c>
      <c r="Y79" s="8">
        <v>8790546</v>
      </c>
      <c r="Z79" s="8">
        <v>7695248.30693</v>
      </c>
      <c r="AA79" s="8">
        <v>0</v>
      </c>
      <c r="AB79" s="8">
        <v>0</v>
      </c>
      <c r="AC79" s="8">
        <v>0</v>
      </c>
      <c r="AD79" s="11">
        <v>93125831.02516</v>
      </c>
      <c r="AE79" s="18">
        <v>0.9297986286824178</v>
      </c>
    </row>
    <row r="80" spans="1:31" ht="11.85" customHeight="1" x14ac:dyDescent="0.2">
      <c r="A80" s="23">
        <v>79</v>
      </c>
      <c r="B80" s="16">
        <v>31733</v>
      </c>
      <c r="C80" s="16">
        <v>25422</v>
      </c>
      <c r="D80" s="15" t="s">
        <v>109</v>
      </c>
      <c r="E80" s="9">
        <v>0</v>
      </c>
      <c r="F80" s="9">
        <v>0</v>
      </c>
      <c r="G80" s="9">
        <v>3258163</v>
      </c>
      <c r="H80" s="9">
        <v>0</v>
      </c>
      <c r="I80" s="9">
        <v>5783804</v>
      </c>
      <c r="J80" s="10">
        <v>0</v>
      </c>
      <c r="K80" s="9">
        <v>0</v>
      </c>
      <c r="L80" s="9">
        <v>0</v>
      </c>
      <c r="M80" s="9">
        <v>8699862</v>
      </c>
      <c r="N80" s="9">
        <v>25891201</v>
      </c>
      <c r="O80" s="9">
        <v>0</v>
      </c>
      <c r="P80" s="9">
        <v>0</v>
      </c>
      <c r="Q80" s="9">
        <v>43633030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3944683.86356</v>
      </c>
      <c r="AA80" s="8">
        <v>0</v>
      </c>
      <c r="AB80" s="8">
        <v>0</v>
      </c>
      <c r="AC80" s="8">
        <v>0</v>
      </c>
      <c r="AD80" s="11">
        <v>3944683.86356</v>
      </c>
      <c r="AE80" s="14">
        <v>0.22233806128781874</v>
      </c>
    </row>
    <row r="81" spans="1:31" ht="11.85" customHeight="1" x14ac:dyDescent="0.2">
      <c r="A81" s="23">
        <v>80</v>
      </c>
      <c r="B81" s="13">
        <v>31724</v>
      </c>
      <c r="C81" s="13">
        <v>25434</v>
      </c>
      <c r="D81" s="12" t="s">
        <v>110</v>
      </c>
      <c r="E81" s="9">
        <v>0</v>
      </c>
      <c r="F81" s="9">
        <v>1200000</v>
      </c>
      <c r="G81" s="9">
        <v>9885208</v>
      </c>
      <c r="H81" s="9">
        <v>0</v>
      </c>
      <c r="I81" s="9">
        <v>12131487</v>
      </c>
      <c r="J81" s="10">
        <v>1797311</v>
      </c>
      <c r="K81" s="9">
        <v>0</v>
      </c>
      <c r="L81" s="9">
        <v>0</v>
      </c>
      <c r="M81" s="9">
        <v>7874016</v>
      </c>
      <c r="N81" s="9">
        <v>0</v>
      </c>
      <c r="O81" s="9">
        <v>0</v>
      </c>
      <c r="P81" s="9">
        <v>0</v>
      </c>
      <c r="Q81" s="9">
        <v>32888022</v>
      </c>
      <c r="R81" s="8">
        <v>0</v>
      </c>
      <c r="S81" s="8">
        <v>2755046</v>
      </c>
      <c r="T81" s="8">
        <v>5745455</v>
      </c>
      <c r="U81" s="8">
        <v>0</v>
      </c>
      <c r="V81" s="8">
        <v>6935478.5</v>
      </c>
      <c r="W81" s="8">
        <v>360703.82949999999</v>
      </c>
      <c r="X81" s="8">
        <v>0</v>
      </c>
      <c r="Y81" s="8">
        <v>372695.65</v>
      </c>
      <c r="Z81" s="8">
        <v>5701770.9898199998</v>
      </c>
      <c r="AA81" s="8">
        <v>0</v>
      </c>
      <c r="AB81" s="8">
        <v>0</v>
      </c>
      <c r="AC81" s="8">
        <v>0</v>
      </c>
      <c r="AD81" s="11">
        <v>21871149.969319999</v>
      </c>
      <c r="AE81" s="14">
        <v>0.66501871013465019</v>
      </c>
    </row>
    <row r="82" spans="1:31" ht="11.85" customHeight="1" x14ac:dyDescent="0.2">
      <c r="A82" s="23">
        <v>81</v>
      </c>
      <c r="B82" s="16">
        <v>31734</v>
      </c>
      <c r="C82" s="16">
        <v>25543</v>
      </c>
      <c r="D82" s="15" t="s">
        <v>111</v>
      </c>
      <c r="E82" s="9">
        <v>0</v>
      </c>
      <c r="F82" s="9">
        <v>399868</v>
      </c>
      <c r="G82" s="9">
        <v>1726109</v>
      </c>
      <c r="H82" s="9">
        <v>0</v>
      </c>
      <c r="I82" s="9">
        <v>5998016</v>
      </c>
      <c r="J82" s="10">
        <v>358655</v>
      </c>
      <c r="K82" s="9">
        <v>0</v>
      </c>
      <c r="L82" s="9">
        <v>241277</v>
      </c>
      <c r="M82" s="9">
        <v>2980097</v>
      </c>
      <c r="N82" s="9">
        <v>0</v>
      </c>
      <c r="O82" s="9">
        <v>0</v>
      </c>
      <c r="P82" s="9">
        <v>0</v>
      </c>
      <c r="Q82" s="9">
        <v>11704022</v>
      </c>
      <c r="R82" s="8">
        <v>0</v>
      </c>
      <c r="S82" s="8">
        <v>360000</v>
      </c>
      <c r="T82" s="8">
        <v>2454545</v>
      </c>
      <c r="U82" s="8">
        <v>0</v>
      </c>
      <c r="V82" s="8">
        <v>3739351.9</v>
      </c>
      <c r="W82" s="8">
        <v>419006.34259999997</v>
      </c>
      <c r="X82" s="8">
        <v>0</v>
      </c>
      <c r="Y82" s="8">
        <v>0</v>
      </c>
      <c r="Z82" s="8">
        <v>1167954.36573</v>
      </c>
      <c r="AA82" s="8">
        <v>0</v>
      </c>
      <c r="AB82" s="8">
        <v>0</v>
      </c>
      <c r="AC82" s="8">
        <v>0</v>
      </c>
      <c r="AD82" s="11">
        <v>8140857.6083300002</v>
      </c>
      <c r="AE82" s="14">
        <v>0.69556068916565605</v>
      </c>
    </row>
    <row r="83" spans="1:31" ht="11.85" customHeight="1" x14ac:dyDescent="0.2">
      <c r="A83" s="23">
        <v>82</v>
      </c>
      <c r="B83" s="13">
        <v>31745</v>
      </c>
      <c r="C83" s="21">
        <v>25411</v>
      </c>
      <c r="D83" s="12" t="s">
        <v>112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10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8">
        <v>0</v>
      </c>
      <c r="S83" s="8">
        <v>485500</v>
      </c>
      <c r="T83" s="8">
        <v>0</v>
      </c>
      <c r="U83" s="8">
        <v>0</v>
      </c>
      <c r="V83" s="8">
        <v>5610112.4000000004</v>
      </c>
      <c r="W83" s="8">
        <v>0</v>
      </c>
      <c r="X83" s="8">
        <v>0</v>
      </c>
      <c r="Y83" s="8">
        <v>265000</v>
      </c>
      <c r="Z83" s="8">
        <v>310.57807000000003</v>
      </c>
      <c r="AA83" s="8">
        <v>0</v>
      </c>
      <c r="AB83" s="8">
        <v>0</v>
      </c>
      <c r="AC83" s="8">
        <v>0</v>
      </c>
      <c r="AD83" s="11">
        <v>6360922.9780700002</v>
      </c>
      <c r="AE83" s="17"/>
    </row>
    <row r="84" spans="1:31" ht="11.85" customHeight="1" x14ac:dyDescent="0.2">
      <c r="A84" s="23">
        <v>83</v>
      </c>
      <c r="B84" s="16">
        <v>31760</v>
      </c>
      <c r="C84" s="16">
        <v>25505</v>
      </c>
      <c r="D84" s="15" t="s">
        <v>113</v>
      </c>
      <c r="E84" s="9">
        <v>0</v>
      </c>
      <c r="F84" s="9">
        <v>5248000</v>
      </c>
      <c r="G84" s="9">
        <v>10325000</v>
      </c>
      <c r="H84" s="9">
        <v>0</v>
      </c>
      <c r="I84" s="9">
        <v>13000000</v>
      </c>
      <c r="J84" s="10">
        <v>2600000</v>
      </c>
      <c r="K84" s="9">
        <v>0</v>
      </c>
      <c r="L84" s="9">
        <v>5200000</v>
      </c>
      <c r="M84" s="9">
        <v>45332000</v>
      </c>
      <c r="N84" s="9">
        <v>0</v>
      </c>
      <c r="O84" s="9">
        <v>0</v>
      </c>
      <c r="P84" s="9">
        <v>0</v>
      </c>
      <c r="Q84" s="9">
        <v>81705000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7658238.7136599999</v>
      </c>
      <c r="AA84" s="8">
        <v>0</v>
      </c>
      <c r="AB84" s="8">
        <v>0</v>
      </c>
      <c r="AC84" s="8">
        <v>0</v>
      </c>
      <c r="AD84" s="11">
        <v>7658238.7136599999</v>
      </c>
      <c r="AE84" s="14">
        <v>9.3730355714582936E-2</v>
      </c>
    </row>
    <row r="85" spans="1:31" ht="11.85" customHeight="1" x14ac:dyDescent="0.2">
      <c r="A85" s="23">
        <v>84</v>
      </c>
      <c r="B85" s="13">
        <v>31756</v>
      </c>
      <c r="C85" s="13">
        <v>25510</v>
      </c>
      <c r="D85" s="12" t="s">
        <v>114</v>
      </c>
      <c r="E85" s="9">
        <v>38624957</v>
      </c>
      <c r="F85" s="9">
        <v>6927116</v>
      </c>
      <c r="G85" s="9">
        <v>9514966</v>
      </c>
      <c r="H85" s="9">
        <v>0</v>
      </c>
      <c r="I85" s="9">
        <v>45991460</v>
      </c>
      <c r="J85" s="10">
        <v>7655072</v>
      </c>
      <c r="K85" s="9">
        <v>0</v>
      </c>
      <c r="L85" s="9">
        <v>1552856</v>
      </c>
      <c r="M85" s="9">
        <v>14523503</v>
      </c>
      <c r="N85" s="9">
        <v>3863890</v>
      </c>
      <c r="O85" s="9">
        <v>3863890</v>
      </c>
      <c r="P85" s="9">
        <v>3172191</v>
      </c>
      <c r="Q85" s="9">
        <v>135689901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9991588.9516000003</v>
      </c>
      <c r="AA85" s="8">
        <v>0</v>
      </c>
      <c r="AB85" s="8">
        <v>0</v>
      </c>
      <c r="AC85" s="8">
        <v>0</v>
      </c>
      <c r="AD85" s="11">
        <v>9991588.9516000003</v>
      </c>
      <c r="AE85" s="14">
        <v>8.0067269463169027E-2</v>
      </c>
    </row>
    <row r="86" spans="1:31" ht="11.85" customHeight="1" x14ac:dyDescent="0.2">
      <c r="A86" s="23">
        <v>85</v>
      </c>
      <c r="B86" s="16">
        <v>31759</v>
      </c>
      <c r="C86" s="16">
        <v>25426</v>
      </c>
      <c r="D86" s="15" t="s">
        <v>115</v>
      </c>
      <c r="E86" s="9">
        <v>7860000</v>
      </c>
      <c r="F86" s="9">
        <v>440000</v>
      </c>
      <c r="G86" s="9">
        <v>0</v>
      </c>
      <c r="H86" s="9">
        <v>0</v>
      </c>
      <c r="I86" s="9">
        <v>4000000</v>
      </c>
      <c r="J86" s="10">
        <v>571000</v>
      </c>
      <c r="K86" s="9">
        <v>0</v>
      </c>
      <c r="L86" s="9">
        <v>0</v>
      </c>
      <c r="M86" s="9">
        <v>874000</v>
      </c>
      <c r="N86" s="9">
        <v>0</v>
      </c>
      <c r="O86" s="9">
        <v>0</v>
      </c>
      <c r="P86" s="9">
        <v>0</v>
      </c>
      <c r="Q86" s="9">
        <v>13745000</v>
      </c>
      <c r="R86" s="8">
        <v>7833684.3899999997</v>
      </c>
      <c r="S86" s="8">
        <v>556500</v>
      </c>
      <c r="T86" s="8">
        <v>0</v>
      </c>
      <c r="U86" s="8">
        <v>0</v>
      </c>
      <c r="V86" s="8">
        <v>3175248</v>
      </c>
      <c r="W86" s="8">
        <v>419485.83510999999</v>
      </c>
      <c r="X86" s="8">
        <v>0</v>
      </c>
      <c r="Y86" s="8">
        <v>1600000</v>
      </c>
      <c r="Z86" s="8">
        <v>820455.39414999995</v>
      </c>
      <c r="AA86" s="8">
        <v>0</v>
      </c>
      <c r="AB86" s="8">
        <v>0</v>
      </c>
      <c r="AC86" s="8">
        <v>0</v>
      </c>
      <c r="AD86" s="11">
        <v>14405373.61926</v>
      </c>
      <c r="AE86" s="19">
        <v>1.0480446430891235</v>
      </c>
    </row>
    <row r="87" spans="1:31" ht="11.85" customHeight="1" x14ac:dyDescent="0.2">
      <c r="A87" s="23">
        <v>86</v>
      </c>
      <c r="B87" s="13">
        <v>31766</v>
      </c>
      <c r="C87" s="13">
        <v>25418</v>
      </c>
      <c r="D87" s="12" t="s">
        <v>116</v>
      </c>
      <c r="E87" s="9">
        <v>0</v>
      </c>
      <c r="F87" s="9">
        <v>0</v>
      </c>
      <c r="G87" s="9">
        <v>0</v>
      </c>
      <c r="H87" s="9">
        <v>0</v>
      </c>
      <c r="I87" s="9">
        <v>1081908</v>
      </c>
      <c r="J87" s="10">
        <v>0</v>
      </c>
      <c r="K87" s="9">
        <v>0</v>
      </c>
      <c r="L87" s="9">
        <v>0</v>
      </c>
      <c r="M87" s="9">
        <v>138537</v>
      </c>
      <c r="N87" s="9">
        <v>0</v>
      </c>
      <c r="O87" s="9">
        <v>0</v>
      </c>
      <c r="P87" s="9">
        <v>0</v>
      </c>
      <c r="Q87" s="9">
        <v>1220445</v>
      </c>
      <c r="R87" s="8">
        <v>0</v>
      </c>
      <c r="S87" s="8">
        <v>0</v>
      </c>
      <c r="T87" s="8">
        <v>0</v>
      </c>
      <c r="U87" s="8">
        <v>0</v>
      </c>
      <c r="V87" s="8">
        <v>1342820</v>
      </c>
      <c r="W87" s="8">
        <v>0</v>
      </c>
      <c r="X87" s="8">
        <v>0</v>
      </c>
      <c r="Y87" s="8">
        <v>0</v>
      </c>
      <c r="Z87" s="8">
        <v>69092.490579999998</v>
      </c>
      <c r="AA87" s="8">
        <v>0</v>
      </c>
      <c r="AB87" s="8">
        <v>0</v>
      </c>
      <c r="AC87" s="8">
        <v>0</v>
      </c>
      <c r="AD87" s="11">
        <v>1411912.49058</v>
      </c>
      <c r="AE87" s="19">
        <v>1.1568833422071458</v>
      </c>
    </row>
    <row r="88" spans="1:31" ht="11.85" customHeight="1" x14ac:dyDescent="0.2">
      <c r="A88" s="23">
        <v>87</v>
      </c>
      <c r="B88" s="16">
        <v>31763</v>
      </c>
      <c r="C88" s="16">
        <v>25424</v>
      </c>
      <c r="D88" s="15" t="s">
        <v>117</v>
      </c>
      <c r="E88" s="9">
        <v>0</v>
      </c>
      <c r="F88" s="9">
        <v>0</v>
      </c>
      <c r="G88" s="9">
        <v>0</v>
      </c>
      <c r="H88" s="9">
        <v>0</v>
      </c>
      <c r="I88" s="9">
        <v>983250</v>
      </c>
      <c r="J88" s="10">
        <v>327750</v>
      </c>
      <c r="K88" s="9">
        <v>0</v>
      </c>
      <c r="L88" s="9">
        <v>0</v>
      </c>
      <c r="M88" s="9">
        <v>335354</v>
      </c>
      <c r="N88" s="9">
        <v>0</v>
      </c>
      <c r="O88" s="9">
        <v>0</v>
      </c>
      <c r="P88" s="9">
        <v>0</v>
      </c>
      <c r="Q88" s="9">
        <v>1646354</v>
      </c>
      <c r="R88" s="8">
        <v>1915257.87</v>
      </c>
      <c r="S88" s="8">
        <v>336000</v>
      </c>
      <c r="T88" s="8">
        <v>0</v>
      </c>
      <c r="U88" s="8">
        <v>0</v>
      </c>
      <c r="V88" s="8">
        <v>3331263.8</v>
      </c>
      <c r="W88" s="8">
        <v>1043316.179</v>
      </c>
      <c r="X88" s="8">
        <v>0</v>
      </c>
      <c r="Y88" s="8">
        <v>4245015</v>
      </c>
      <c r="Z88" s="8">
        <v>169509.90648999999</v>
      </c>
      <c r="AA88" s="8">
        <v>0</v>
      </c>
      <c r="AB88" s="8">
        <v>0</v>
      </c>
      <c r="AC88" s="8">
        <v>0</v>
      </c>
      <c r="AD88" s="11">
        <v>11040362.755489999</v>
      </c>
      <c r="AE88" s="19">
        <v>6.7059470536045112</v>
      </c>
    </row>
    <row r="89" spans="1:31" ht="11.85" customHeight="1" x14ac:dyDescent="0.2">
      <c r="A89" s="23">
        <v>88</v>
      </c>
      <c r="B89" s="13">
        <v>31765</v>
      </c>
      <c r="C89" s="13">
        <v>25439</v>
      </c>
      <c r="D89" s="12" t="s">
        <v>118</v>
      </c>
      <c r="E89" s="9">
        <v>0</v>
      </c>
      <c r="F89" s="9">
        <v>193050</v>
      </c>
      <c r="G89" s="9">
        <v>0</v>
      </c>
      <c r="H89" s="9">
        <v>0</v>
      </c>
      <c r="I89" s="9">
        <v>0</v>
      </c>
      <c r="J89" s="10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193050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123474.03926999999</v>
      </c>
      <c r="AA89" s="8">
        <v>0</v>
      </c>
      <c r="AB89" s="8">
        <v>0</v>
      </c>
      <c r="AC89" s="8">
        <v>0</v>
      </c>
      <c r="AD89" s="11">
        <v>123474.03926999999</v>
      </c>
      <c r="AE89" s="14">
        <v>0.63959616301476296</v>
      </c>
    </row>
    <row r="90" spans="1:31" ht="11.85" customHeight="1" x14ac:dyDescent="0.2">
      <c r="A90" s="23">
        <v>89</v>
      </c>
      <c r="B90" s="16">
        <v>31770</v>
      </c>
      <c r="C90" s="16">
        <v>25419</v>
      </c>
      <c r="D90" s="15" t="s">
        <v>119</v>
      </c>
      <c r="E90" s="9">
        <v>0</v>
      </c>
      <c r="F90" s="9">
        <v>120538</v>
      </c>
      <c r="G90" s="9">
        <v>0</v>
      </c>
      <c r="H90" s="9">
        <v>0</v>
      </c>
      <c r="I90" s="9">
        <v>591840</v>
      </c>
      <c r="J90" s="10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712378</v>
      </c>
      <c r="R90" s="8">
        <v>0</v>
      </c>
      <c r="S90" s="8">
        <v>117000</v>
      </c>
      <c r="T90" s="8">
        <v>0</v>
      </c>
      <c r="U90" s="8">
        <v>0</v>
      </c>
      <c r="V90" s="8">
        <v>1084274.5</v>
      </c>
      <c r="W90" s="8">
        <v>0</v>
      </c>
      <c r="X90" s="8">
        <v>0</v>
      </c>
      <c r="Y90" s="8">
        <v>0</v>
      </c>
      <c r="Z90" s="8">
        <v>112023.28376999999</v>
      </c>
      <c r="AA90" s="8">
        <v>0</v>
      </c>
      <c r="AB90" s="8">
        <v>0</v>
      </c>
      <c r="AC90" s="8">
        <v>0</v>
      </c>
      <c r="AD90" s="11">
        <v>1313297.7837700001</v>
      </c>
      <c r="AE90" s="19">
        <v>1.8435406255808013</v>
      </c>
    </row>
    <row r="91" spans="1:31" ht="11.85" customHeight="1" x14ac:dyDescent="0.2">
      <c r="A91" s="23">
        <v>90</v>
      </c>
      <c r="B91" s="13">
        <v>31777</v>
      </c>
      <c r="C91" s="13">
        <v>25432</v>
      </c>
      <c r="D91" s="12" t="s">
        <v>120</v>
      </c>
      <c r="E91" s="9">
        <v>0</v>
      </c>
      <c r="F91" s="9">
        <v>65320</v>
      </c>
      <c r="G91" s="9">
        <v>0</v>
      </c>
      <c r="H91" s="9">
        <v>0</v>
      </c>
      <c r="I91" s="9">
        <v>0</v>
      </c>
      <c r="J91" s="10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65320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14322.98432</v>
      </c>
      <c r="AA91" s="8">
        <v>0</v>
      </c>
      <c r="AB91" s="8">
        <v>0</v>
      </c>
      <c r="AC91" s="8">
        <v>0</v>
      </c>
      <c r="AD91" s="11">
        <v>14322.98432</v>
      </c>
      <c r="AE91" s="14">
        <v>0.21927410165339861</v>
      </c>
    </row>
    <row r="92" spans="1:31" ht="11.85" customHeight="1" x14ac:dyDescent="0.2">
      <c r="A92" s="23">
        <v>91</v>
      </c>
      <c r="B92" s="16">
        <v>31771</v>
      </c>
      <c r="C92" s="16">
        <v>25441</v>
      </c>
      <c r="D92" s="15" t="s">
        <v>121</v>
      </c>
      <c r="E92" s="9">
        <v>0</v>
      </c>
      <c r="F92" s="9">
        <v>0</v>
      </c>
      <c r="G92" s="9">
        <v>0</v>
      </c>
      <c r="H92" s="9">
        <v>0</v>
      </c>
      <c r="I92" s="9">
        <v>1291040</v>
      </c>
      <c r="J92" s="10">
        <v>0</v>
      </c>
      <c r="K92" s="9">
        <v>0</v>
      </c>
      <c r="L92" s="9">
        <v>0</v>
      </c>
      <c r="M92" s="9">
        <v>390646</v>
      </c>
      <c r="N92" s="9">
        <v>1330072</v>
      </c>
      <c r="O92" s="9">
        <v>0</v>
      </c>
      <c r="P92" s="9">
        <v>0</v>
      </c>
      <c r="Q92" s="9">
        <v>3011758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198039.62917</v>
      </c>
      <c r="AA92" s="8">
        <v>0</v>
      </c>
      <c r="AB92" s="8">
        <v>0</v>
      </c>
      <c r="AC92" s="8">
        <v>0</v>
      </c>
      <c r="AD92" s="11">
        <v>198039.62917</v>
      </c>
      <c r="AE92" s="14">
        <v>0.11776254851975933</v>
      </c>
    </row>
    <row r="93" spans="1:31" ht="11.85" customHeight="1" x14ac:dyDescent="0.2">
      <c r="A93" s="23">
        <v>92</v>
      </c>
      <c r="B93" s="13">
        <v>31775</v>
      </c>
      <c r="C93" s="13">
        <v>25430</v>
      </c>
      <c r="D93" s="12" t="s">
        <v>122</v>
      </c>
      <c r="E93" s="9">
        <v>0</v>
      </c>
      <c r="F93" s="9">
        <v>1306400</v>
      </c>
      <c r="G93" s="9">
        <v>0</v>
      </c>
      <c r="H93" s="9">
        <v>0</v>
      </c>
      <c r="I93" s="9">
        <v>6558128</v>
      </c>
      <c r="J93" s="10">
        <v>1299868</v>
      </c>
      <c r="K93" s="9">
        <v>5225600</v>
      </c>
      <c r="L93" s="9">
        <v>0</v>
      </c>
      <c r="M93" s="9">
        <v>11724940</v>
      </c>
      <c r="N93" s="9">
        <v>1515424</v>
      </c>
      <c r="O93" s="9">
        <v>0</v>
      </c>
      <c r="P93" s="9">
        <v>0</v>
      </c>
      <c r="Q93" s="9">
        <v>27630360</v>
      </c>
      <c r="R93" s="8">
        <v>0</v>
      </c>
      <c r="S93" s="8">
        <v>313500</v>
      </c>
      <c r="T93" s="8">
        <v>3272727</v>
      </c>
      <c r="U93" s="8">
        <v>0</v>
      </c>
      <c r="V93" s="8">
        <v>3393841.96</v>
      </c>
      <c r="W93" s="8">
        <v>763830.65110000002</v>
      </c>
      <c r="X93" s="8">
        <v>2942867.86</v>
      </c>
      <c r="Y93" s="8">
        <v>112500</v>
      </c>
      <c r="Z93" s="8">
        <v>4472698.7352499999</v>
      </c>
      <c r="AA93" s="8">
        <v>0</v>
      </c>
      <c r="AB93" s="8">
        <v>0</v>
      </c>
      <c r="AC93" s="8">
        <v>0</v>
      </c>
      <c r="AD93" s="11">
        <v>15271966.206350001</v>
      </c>
      <c r="AE93" s="14">
        <v>0.58479814793917162</v>
      </c>
    </row>
    <row r="94" spans="1:31" ht="11.85" customHeight="1" x14ac:dyDescent="0.2">
      <c r="A94" s="23">
        <v>93</v>
      </c>
      <c r="B94" s="16">
        <v>31772</v>
      </c>
      <c r="C94" s="16">
        <v>25420</v>
      </c>
      <c r="D94" s="15" t="s">
        <v>123</v>
      </c>
      <c r="E94" s="9">
        <v>0</v>
      </c>
      <c r="F94" s="9">
        <v>120000</v>
      </c>
      <c r="G94" s="9">
        <v>0</v>
      </c>
      <c r="H94" s="9">
        <v>0</v>
      </c>
      <c r="I94" s="9">
        <v>200000</v>
      </c>
      <c r="J94" s="10">
        <v>500000</v>
      </c>
      <c r="K94" s="9">
        <v>0</v>
      </c>
      <c r="L94" s="9">
        <v>0</v>
      </c>
      <c r="M94" s="9">
        <v>120000</v>
      </c>
      <c r="N94" s="9">
        <v>0</v>
      </c>
      <c r="O94" s="9">
        <v>0</v>
      </c>
      <c r="P94" s="9">
        <v>0</v>
      </c>
      <c r="Q94" s="9">
        <v>940000</v>
      </c>
      <c r="R94" s="8">
        <v>0</v>
      </c>
      <c r="S94" s="8">
        <v>70000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63270.300109999996</v>
      </c>
      <c r="AA94" s="8">
        <v>0</v>
      </c>
      <c r="AB94" s="8">
        <v>0</v>
      </c>
      <c r="AC94" s="8">
        <v>0</v>
      </c>
      <c r="AD94" s="11">
        <v>133270.30011000001</v>
      </c>
      <c r="AE94" s="14">
        <v>0.14177691501063833</v>
      </c>
    </row>
    <row r="95" spans="1:31" ht="11.85" customHeight="1" x14ac:dyDescent="0.2">
      <c r="A95" s="23">
        <v>94</v>
      </c>
      <c r="B95" s="16">
        <v>31789</v>
      </c>
      <c r="C95" s="16">
        <v>25431</v>
      </c>
      <c r="D95" s="15" t="s">
        <v>124</v>
      </c>
      <c r="E95" s="9">
        <v>0</v>
      </c>
      <c r="F95" s="9">
        <v>732000</v>
      </c>
      <c r="G95" s="9">
        <v>0</v>
      </c>
      <c r="H95" s="9">
        <v>0</v>
      </c>
      <c r="I95" s="9">
        <v>1700000</v>
      </c>
      <c r="J95" s="10">
        <v>200000</v>
      </c>
      <c r="K95" s="9">
        <v>0</v>
      </c>
      <c r="L95" s="9">
        <v>0</v>
      </c>
      <c r="M95" s="9">
        <v>553000</v>
      </c>
      <c r="N95" s="9">
        <v>0</v>
      </c>
      <c r="O95" s="9">
        <v>0</v>
      </c>
      <c r="P95" s="9">
        <v>0</v>
      </c>
      <c r="Q95" s="9">
        <v>3185000</v>
      </c>
      <c r="R95" s="8">
        <v>0</v>
      </c>
      <c r="S95" s="8">
        <v>77000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220319.98402999999</v>
      </c>
      <c r="AA95" s="8">
        <v>0</v>
      </c>
      <c r="AB95" s="8">
        <v>0</v>
      </c>
      <c r="AC95" s="8">
        <v>0</v>
      </c>
      <c r="AD95" s="11">
        <v>297319.98402999999</v>
      </c>
      <c r="AE95" s="14">
        <v>9.3350073478806903E-2</v>
      </c>
    </row>
    <row r="96" spans="1:31" ht="11.85" customHeight="1" x14ac:dyDescent="0.2">
      <c r="A96" s="23">
        <v>95</v>
      </c>
      <c r="B96" s="13">
        <v>31787</v>
      </c>
      <c r="C96" s="13">
        <v>25429</v>
      </c>
      <c r="D96" s="12" t="s">
        <v>125</v>
      </c>
      <c r="E96" s="9">
        <v>0</v>
      </c>
      <c r="F96" s="9">
        <v>387544</v>
      </c>
      <c r="G96" s="9">
        <v>0</v>
      </c>
      <c r="H96" s="9">
        <v>0</v>
      </c>
      <c r="I96" s="9">
        <v>1770172</v>
      </c>
      <c r="J96" s="10">
        <v>0</v>
      </c>
      <c r="K96" s="9">
        <v>0</v>
      </c>
      <c r="L96" s="9">
        <v>0</v>
      </c>
      <c r="M96" s="9">
        <v>279766</v>
      </c>
      <c r="N96" s="9">
        <v>0</v>
      </c>
      <c r="O96" s="9">
        <v>0</v>
      </c>
      <c r="P96" s="9">
        <v>0</v>
      </c>
      <c r="Q96" s="9">
        <v>2437482</v>
      </c>
      <c r="R96" s="8">
        <v>0</v>
      </c>
      <c r="S96" s="8">
        <v>108000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100000</v>
      </c>
      <c r="Z96" s="8">
        <v>136166.75370999999</v>
      </c>
      <c r="AA96" s="8">
        <v>0</v>
      </c>
      <c r="AB96" s="8">
        <v>0</v>
      </c>
      <c r="AC96" s="8">
        <v>0</v>
      </c>
      <c r="AD96" s="11">
        <v>344166.75371000002</v>
      </c>
      <c r="AE96" s="14">
        <v>0.141197659597076</v>
      </c>
    </row>
    <row r="97" spans="1:31" ht="11.85" customHeight="1" x14ac:dyDescent="0.2">
      <c r="A97" s="23">
        <v>96</v>
      </c>
      <c r="B97" s="16">
        <v>31793</v>
      </c>
      <c r="C97" s="16">
        <v>25435</v>
      </c>
      <c r="D97" s="15" t="s">
        <v>126</v>
      </c>
      <c r="E97" s="9">
        <v>0</v>
      </c>
      <c r="F97" s="9">
        <v>2071689</v>
      </c>
      <c r="G97" s="9">
        <v>0</v>
      </c>
      <c r="H97" s="9">
        <v>0</v>
      </c>
      <c r="I97" s="9">
        <v>3512910</v>
      </c>
      <c r="J97" s="10">
        <v>0</v>
      </c>
      <c r="K97" s="9">
        <v>0</v>
      </c>
      <c r="L97" s="9">
        <v>1763640</v>
      </c>
      <c r="M97" s="9">
        <v>671816</v>
      </c>
      <c r="N97" s="9">
        <v>2551726</v>
      </c>
      <c r="O97" s="9">
        <v>0</v>
      </c>
      <c r="P97" s="9">
        <v>0</v>
      </c>
      <c r="Q97" s="9">
        <v>10571781</v>
      </c>
      <c r="R97" s="8">
        <v>0</v>
      </c>
      <c r="S97" s="8">
        <v>5574600</v>
      </c>
      <c r="T97" s="8">
        <v>0</v>
      </c>
      <c r="U97" s="8">
        <v>0</v>
      </c>
      <c r="V97" s="8">
        <v>1802251.5</v>
      </c>
      <c r="W97" s="8">
        <v>0</v>
      </c>
      <c r="X97" s="8">
        <v>0</v>
      </c>
      <c r="Y97" s="8">
        <v>7429077</v>
      </c>
      <c r="Z97" s="8">
        <v>644424.40818999999</v>
      </c>
      <c r="AA97" s="8">
        <v>0</v>
      </c>
      <c r="AB97" s="8">
        <v>0</v>
      </c>
      <c r="AC97" s="8">
        <v>0</v>
      </c>
      <c r="AD97" s="11">
        <v>15450352.908190001</v>
      </c>
      <c r="AE97" s="19">
        <v>1.9264647073106105</v>
      </c>
    </row>
    <row r="98" spans="1:31" ht="11.85" customHeight="1" x14ac:dyDescent="0.2">
      <c r="A98" s="23">
        <v>97</v>
      </c>
      <c r="B98" s="13">
        <v>31801</v>
      </c>
      <c r="C98" s="13">
        <v>25478</v>
      </c>
      <c r="D98" s="12" t="s">
        <v>127</v>
      </c>
      <c r="E98" s="9">
        <v>0</v>
      </c>
      <c r="F98" s="9">
        <v>0</v>
      </c>
      <c r="G98" s="9">
        <v>0</v>
      </c>
      <c r="H98" s="9">
        <v>0</v>
      </c>
      <c r="I98" s="9">
        <v>4497300</v>
      </c>
      <c r="J98" s="10">
        <v>9500000</v>
      </c>
      <c r="K98" s="9">
        <v>0</v>
      </c>
      <c r="L98" s="9">
        <v>0</v>
      </c>
      <c r="M98" s="9">
        <v>1000000</v>
      </c>
      <c r="N98" s="9">
        <v>0</v>
      </c>
      <c r="O98" s="9">
        <v>0</v>
      </c>
      <c r="P98" s="9">
        <v>0</v>
      </c>
      <c r="Q98" s="9">
        <v>14997300</v>
      </c>
      <c r="R98" s="8">
        <v>0</v>
      </c>
      <c r="S98" s="8">
        <v>0</v>
      </c>
      <c r="T98" s="8">
        <v>0</v>
      </c>
      <c r="U98" s="8">
        <v>0</v>
      </c>
      <c r="V98" s="8">
        <v>18789424.300000001</v>
      </c>
      <c r="W98" s="8">
        <v>7047593.1742000002</v>
      </c>
      <c r="X98" s="8">
        <v>0</v>
      </c>
      <c r="Y98" s="8">
        <v>1600003.6</v>
      </c>
      <c r="Z98" s="8">
        <v>754506.84403000004</v>
      </c>
      <c r="AA98" s="8">
        <v>0</v>
      </c>
      <c r="AB98" s="8">
        <v>0</v>
      </c>
      <c r="AC98" s="8">
        <v>0</v>
      </c>
      <c r="AD98" s="11">
        <v>28191527.918230001</v>
      </c>
      <c r="AE98" s="19">
        <v>1.8797735537883489</v>
      </c>
    </row>
    <row r="99" spans="1:31" ht="11.85" customHeight="1" x14ac:dyDescent="0.2">
      <c r="A99" s="23">
        <v>98</v>
      </c>
      <c r="B99" s="16">
        <v>31803</v>
      </c>
      <c r="C99" s="16">
        <v>25457</v>
      </c>
      <c r="D99" s="15" t="s">
        <v>128</v>
      </c>
      <c r="E99" s="9">
        <v>0</v>
      </c>
      <c r="F99" s="9">
        <v>0</v>
      </c>
      <c r="G99" s="9">
        <v>0</v>
      </c>
      <c r="H99" s="9">
        <v>0</v>
      </c>
      <c r="I99" s="9">
        <v>48696664</v>
      </c>
      <c r="J99" s="10">
        <v>27959989</v>
      </c>
      <c r="K99" s="9">
        <v>0</v>
      </c>
      <c r="L99" s="9">
        <v>0</v>
      </c>
      <c r="M99" s="9">
        <v>9649986</v>
      </c>
      <c r="N99" s="9">
        <v>15482400</v>
      </c>
      <c r="O99" s="9">
        <v>0</v>
      </c>
      <c r="P99" s="9">
        <v>0</v>
      </c>
      <c r="Q99" s="9">
        <v>101789039</v>
      </c>
      <c r="R99" s="8">
        <v>0</v>
      </c>
      <c r="S99" s="8">
        <v>0</v>
      </c>
      <c r="T99" s="8">
        <v>0</v>
      </c>
      <c r="U99" s="8">
        <v>0</v>
      </c>
      <c r="V99" s="8">
        <v>18978531.100000001</v>
      </c>
      <c r="W99" s="8">
        <v>0</v>
      </c>
      <c r="X99" s="8">
        <v>0</v>
      </c>
      <c r="Y99" s="8">
        <v>290909</v>
      </c>
      <c r="Z99" s="8">
        <v>9394615.9652600009</v>
      </c>
      <c r="AA99" s="8">
        <v>0</v>
      </c>
      <c r="AB99" s="8">
        <v>0</v>
      </c>
      <c r="AC99" s="8">
        <v>0</v>
      </c>
      <c r="AD99" s="11">
        <v>28664056.065260001</v>
      </c>
      <c r="AE99" s="14">
        <v>0.33211878480472401</v>
      </c>
    </row>
    <row r="100" spans="1:31" ht="11.85" customHeight="1" x14ac:dyDescent="0.2">
      <c r="A100" s="23">
        <v>99</v>
      </c>
      <c r="B100" s="13">
        <v>31808</v>
      </c>
      <c r="C100" s="13">
        <v>25453</v>
      </c>
      <c r="D100" s="12" t="s">
        <v>129</v>
      </c>
      <c r="E100" s="9">
        <v>0</v>
      </c>
      <c r="F100" s="9">
        <v>328000</v>
      </c>
      <c r="G100" s="9">
        <v>0</v>
      </c>
      <c r="H100" s="9">
        <v>0</v>
      </c>
      <c r="I100" s="9">
        <v>1800000</v>
      </c>
      <c r="J100" s="10">
        <v>582000</v>
      </c>
      <c r="K100" s="9">
        <v>0</v>
      </c>
      <c r="L100" s="9">
        <v>219000</v>
      </c>
      <c r="M100" s="9">
        <v>259860</v>
      </c>
      <c r="N100" s="9">
        <v>0</v>
      </c>
      <c r="O100" s="9">
        <v>0</v>
      </c>
      <c r="P100" s="9">
        <v>0</v>
      </c>
      <c r="Q100" s="9">
        <v>3188860</v>
      </c>
      <c r="R100" s="8">
        <v>0</v>
      </c>
      <c r="S100" s="8">
        <v>0</v>
      </c>
      <c r="T100" s="8">
        <v>0</v>
      </c>
      <c r="U100" s="8">
        <v>0</v>
      </c>
      <c r="V100" s="8">
        <v>2722282.3</v>
      </c>
      <c r="W100" s="8">
        <v>310807.23200000002</v>
      </c>
      <c r="X100" s="8">
        <v>0</v>
      </c>
      <c r="Y100" s="8">
        <v>0</v>
      </c>
      <c r="Z100" s="8">
        <v>292052.21153999999</v>
      </c>
      <c r="AA100" s="8">
        <v>0</v>
      </c>
      <c r="AB100" s="8">
        <v>0</v>
      </c>
      <c r="AC100" s="8">
        <v>0</v>
      </c>
      <c r="AD100" s="11">
        <v>3325141.7435400002</v>
      </c>
      <c r="AE100" s="19">
        <v>1.0427368224192974</v>
      </c>
    </row>
    <row r="101" spans="1:31" ht="11.85" customHeight="1" x14ac:dyDescent="0.2">
      <c r="A101" s="23">
        <v>100</v>
      </c>
      <c r="B101" s="13">
        <v>31810</v>
      </c>
      <c r="C101" s="13">
        <v>25522</v>
      </c>
      <c r="D101" s="12" t="s">
        <v>130</v>
      </c>
      <c r="E101" s="9">
        <v>0</v>
      </c>
      <c r="F101" s="9">
        <v>0</v>
      </c>
      <c r="G101" s="9">
        <v>0</v>
      </c>
      <c r="H101" s="9">
        <v>0</v>
      </c>
      <c r="I101" s="9">
        <v>26741553</v>
      </c>
      <c r="J101" s="10">
        <v>0</v>
      </c>
      <c r="K101" s="9">
        <v>0</v>
      </c>
      <c r="L101" s="9">
        <v>0</v>
      </c>
      <c r="M101" s="9">
        <v>5556452</v>
      </c>
      <c r="N101" s="9">
        <v>0</v>
      </c>
      <c r="O101" s="9">
        <v>0</v>
      </c>
      <c r="P101" s="9">
        <v>0</v>
      </c>
      <c r="Q101" s="9">
        <v>32298005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991642.47745999997</v>
      </c>
      <c r="AA101" s="8">
        <v>0</v>
      </c>
      <c r="AB101" s="8">
        <v>0</v>
      </c>
      <c r="AC101" s="8">
        <v>0</v>
      </c>
      <c r="AD101" s="11">
        <v>991642.47745999997</v>
      </c>
      <c r="AE101" s="14">
        <v>3.0702901849820136E-2</v>
      </c>
    </row>
    <row r="102" spans="1:31" ht="11.85" customHeight="1" x14ac:dyDescent="0.2">
      <c r="A102" s="23">
        <v>101</v>
      </c>
      <c r="B102" s="16">
        <v>31824</v>
      </c>
      <c r="C102" s="16">
        <v>25509</v>
      </c>
      <c r="D102" s="15" t="s">
        <v>131</v>
      </c>
      <c r="E102" s="9">
        <v>0</v>
      </c>
      <c r="F102" s="9">
        <v>300000</v>
      </c>
      <c r="G102" s="9">
        <v>0</v>
      </c>
      <c r="H102" s="9">
        <v>0</v>
      </c>
      <c r="I102" s="9">
        <v>2700000</v>
      </c>
      <c r="J102" s="10">
        <v>200000</v>
      </c>
      <c r="K102" s="9">
        <v>0</v>
      </c>
      <c r="L102" s="9">
        <v>100000</v>
      </c>
      <c r="M102" s="9">
        <v>322500</v>
      </c>
      <c r="N102" s="9">
        <v>0</v>
      </c>
      <c r="O102" s="9">
        <v>0</v>
      </c>
      <c r="P102" s="9">
        <v>0</v>
      </c>
      <c r="Q102" s="9">
        <v>3622500</v>
      </c>
      <c r="R102" s="8">
        <v>0</v>
      </c>
      <c r="S102" s="8">
        <v>0</v>
      </c>
      <c r="T102" s="8">
        <v>0</v>
      </c>
      <c r="U102" s="8">
        <v>0</v>
      </c>
      <c r="V102" s="8">
        <v>2205801.2000000002</v>
      </c>
      <c r="W102" s="8">
        <v>384177.88390000002</v>
      </c>
      <c r="X102" s="8">
        <v>0</v>
      </c>
      <c r="Y102" s="8">
        <v>160921</v>
      </c>
      <c r="Z102" s="8">
        <v>81579.813309999998</v>
      </c>
      <c r="AA102" s="8">
        <v>0</v>
      </c>
      <c r="AB102" s="8">
        <v>0</v>
      </c>
      <c r="AC102" s="8">
        <v>0</v>
      </c>
      <c r="AD102" s="11">
        <v>2832479.8972100001</v>
      </c>
      <c r="AE102" s="18">
        <v>0.78191301510282962</v>
      </c>
    </row>
    <row r="103" spans="1:31" ht="11.85" customHeight="1" x14ac:dyDescent="0.2">
      <c r="A103" s="23">
        <v>102</v>
      </c>
      <c r="B103" s="13">
        <v>31821</v>
      </c>
      <c r="C103" s="13">
        <v>25451</v>
      </c>
      <c r="D103" s="12" t="s">
        <v>132</v>
      </c>
      <c r="E103" s="9">
        <v>1300000</v>
      </c>
      <c r="F103" s="9">
        <v>450000</v>
      </c>
      <c r="G103" s="9">
        <v>0</v>
      </c>
      <c r="H103" s="9">
        <v>0</v>
      </c>
      <c r="I103" s="9">
        <v>5000000</v>
      </c>
      <c r="J103" s="10">
        <v>523000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7273000</v>
      </c>
      <c r="R103" s="8">
        <v>2436697.2999999998</v>
      </c>
      <c r="S103" s="8">
        <v>178500</v>
      </c>
      <c r="T103" s="8">
        <v>0</v>
      </c>
      <c r="U103" s="8">
        <v>0</v>
      </c>
      <c r="V103" s="8">
        <v>6157236.2999999998</v>
      </c>
      <c r="W103" s="8">
        <v>3266895.7256999998</v>
      </c>
      <c r="X103" s="8">
        <v>0</v>
      </c>
      <c r="Y103" s="8">
        <v>0</v>
      </c>
      <c r="Z103" s="8">
        <v>2367509.0658</v>
      </c>
      <c r="AA103" s="8">
        <v>0</v>
      </c>
      <c r="AB103" s="8">
        <v>0</v>
      </c>
      <c r="AC103" s="8">
        <v>0</v>
      </c>
      <c r="AD103" s="11">
        <v>14406838.3915</v>
      </c>
      <c r="AE103" s="19">
        <v>1.9808659963563866</v>
      </c>
    </row>
    <row r="104" spans="1:31" ht="11.85" customHeight="1" x14ac:dyDescent="0.2">
      <c r="A104" s="23">
        <v>103</v>
      </c>
      <c r="B104" s="16">
        <v>31829</v>
      </c>
      <c r="C104" s="16">
        <v>25500</v>
      </c>
      <c r="D104" s="15" t="s">
        <v>133</v>
      </c>
      <c r="E104" s="9">
        <v>0</v>
      </c>
      <c r="F104" s="9">
        <v>195150</v>
      </c>
      <c r="G104" s="9">
        <v>0</v>
      </c>
      <c r="H104" s="9">
        <v>0</v>
      </c>
      <c r="I104" s="9">
        <v>1418090</v>
      </c>
      <c r="J104" s="10">
        <v>195150</v>
      </c>
      <c r="K104" s="9">
        <v>0</v>
      </c>
      <c r="L104" s="9">
        <v>0</v>
      </c>
      <c r="M104" s="9">
        <v>3154925</v>
      </c>
      <c r="N104" s="9">
        <v>5590267</v>
      </c>
      <c r="O104" s="9">
        <v>0</v>
      </c>
      <c r="P104" s="9">
        <v>0</v>
      </c>
      <c r="Q104" s="9">
        <v>10553582</v>
      </c>
      <c r="R104" s="8">
        <v>0</v>
      </c>
      <c r="S104" s="8">
        <v>225000</v>
      </c>
      <c r="T104" s="8">
        <v>0</v>
      </c>
      <c r="U104" s="8">
        <v>0</v>
      </c>
      <c r="V104" s="8">
        <v>3197190.1</v>
      </c>
      <c r="W104" s="8">
        <v>0</v>
      </c>
      <c r="X104" s="8">
        <v>0</v>
      </c>
      <c r="Y104" s="8">
        <v>7813636</v>
      </c>
      <c r="Z104" s="8">
        <v>556573.49818</v>
      </c>
      <c r="AA104" s="8">
        <v>0</v>
      </c>
      <c r="AB104" s="8">
        <v>0</v>
      </c>
      <c r="AC104" s="8">
        <v>0</v>
      </c>
      <c r="AD104" s="11">
        <v>11792399.59818</v>
      </c>
      <c r="AE104" s="19">
        <v>2.3759119858763751</v>
      </c>
    </row>
    <row r="105" spans="1:31" ht="11.85" customHeight="1" x14ac:dyDescent="0.2">
      <c r="A105" s="23">
        <v>104</v>
      </c>
      <c r="B105" s="13">
        <v>31830</v>
      </c>
      <c r="C105" s="13">
        <v>25502</v>
      </c>
      <c r="D105" s="12" t="s">
        <v>134</v>
      </c>
      <c r="E105" s="9">
        <v>0</v>
      </c>
      <c r="F105" s="9">
        <v>780600</v>
      </c>
      <c r="G105" s="9">
        <v>0</v>
      </c>
      <c r="H105" s="9">
        <v>0</v>
      </c>
      <c r="I105" s="9">
        <v>5626825</v>
      </c>
      <c r="J105" s="10">
        <v>1938490</v>
      </c>
      <c r="K105" s="9">
        <v>0</v>
      </c>
      <c r="L105" s="9">
        <v>0</v>
      </c>
      <c r="M105" s="9">
        <v>5308080</v>
      </c>
      <c r="N105" s="9">
        <v>0</v>
      </c>
      <c r="O105" s="9">
        <v>0</v>
      </c>
      <c r="P105" s="9">
        <v>0</v>
      </c>
      <c r="Q105" s="9">
        <v>13653995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6568636.5</v>
      </c>
      <c r="Z105" s="8">
        <v>976724.39940999995</v>
      </c>
      <c r="AA105" s="8">
        <v>0</v>
      </c>
      <c r="AB105" s="8">
        <v>0</v>
      </c>
      <c r="AC105" s="8">
        <v>0</v>
      </c>
      <c r="AD105" s="11">
        <v>7545360.8994100001</v>
      </c>
      <c r="AE105" s="14">
        <v>0.55261195711658018</v>
      </c>
    </row>
    <row r="106" spans="1:31" ht="11.85" customHeight="1" x14ac:dyDescent="0.2">
      <c r="A106" s="23">
        <v>105</v>
      </c>
      <c r="B106" s="13">
        <v>31819</v>
      </c>
      <c r="C106" s="13">
        <v>25475</v>
      </c>
      <c r="D106" s="12" t="s">
        <v>135</v>
      </c>
      <c r="E106" s="9">
        <v>0</v>
      </c>
      <c r="F106" s="9">
        <v>1470000</v>
      </c>
      <c r="G106" s="9">
        <v>6400000</v>
      </c>
      <c r="H106" s="9">
        <v>0</v>
      </c>
      <c r="I106" s="9">
        <v>13654322</v>
      </c>
      <c r="J106" s="10">
        <v>2025677</v>
      </c>
      <c r="K106" s="9">
        <v>0</v>
      </c>
      <c r="L106" s="9">
        <v>8475300</v>
      </c>
      <c r="M106" s="9">
        <v>10633809</v>
      </c>
      <c r="N106" s="9">
        <v>0</v>
      </c>
      <c r="O106" s="9">
        <v>0</v>
      </c>
      <c r="P106" s="9">
        <v>0</v>
      </c>
      <c r="Q106" s="9">
        <v>42659108</v>
      </c>
      <c r="R106" s="8">
        <v>0</v>
      </c>
      <c r="S106" s="8">
        <v>0</v>
      </c>
      <c r="T106" s="8">
        <v>2545455</v>
      </c>
      <c r="U106" s="8">
        <v>0</v>
      </c>
      <c r="V106" s="8">
        <v>0</v>
      </c>
      <c r="W106" s="8">
        <v>0</v>
      </c>
      <c r="X106" s="8">
        <v>0</v>
      </c>
      <c r="Y106" s="8">
        <v>2516749</v>
      </c>
      <c r="Z106" s="8">
        <v>4718404.5015200004</v>
      </c>
      <c r="AA106" s="8">
        <v>0</v>
      </c>
      <c r="AB106" s="8">
        <v>0</v>
      </c>
      <c r="AC106" s="8">
        <v>0</v>
      </c>
      <c r="AD106" s="11">
        <v>9780608.5015200004</v>
      </c>
      <c r="AE106" s="14">
        <v>0.22927362901071444</v>
      </c>
    </row>
    <row r="107" spans="1:31" ht="11.85" customHeight="1" x14ac:dyDescent="0.2">
      <c r="A107" s="23">
        <v>106</v>
      </c>
      <c r="B107" s="16">
        <v>31831</v>
      </c>
      <c r="C107" s="16">
        <v>25504</v>
      </c>
      <c r="D107" s="15" t="s">
        <v>136</v>
      </c>
      <c r="E107" s="9">
        <v>0</v>
      </c>
      <c r="F107" s="9">
        <v>0</v>
      </c>
      <c r="G107" s="9">
        <v>0</v>
      </c>
      <c r="H107" s="9">
        <v>0</v>
      </c>
      <c r="I107" s="9">
        <v>225000</v>
      </c>
      <c r="J107" s="10">
        <v>100000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325000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9188.4992700000003</v>
      </c>
      <c r="AA107" s="8">
        <v>0</v>
      </c>
      <c r="AB107" s="8">
        <v>0</v>
      </c>
      <c r="AC107" s="8">
        <v>0</v>
      </c>
      <c r="AD107" s="11">
        <v>9188.4992700000003</v>
      </c>
      <c r="AE107" s="14">
        <v>2.8272305446153844E-2</v>
      </c>
    </row>
    <row r="108" spans="1:31" ht="11.85" customHeight="1" x14ac:dyDescent="0.2">
      <c r="A108" s="23">
        <v>107</v>
      </c>
      <c r="B108" s="16">
        <v>31838</v>
      </c>
      <c r="C108" s="16">
        <v>25492</v>
      </c>
      <c r="D108" s="15" t="s">
        <v>137</v>
      </c>
      <c r="E108" s="9">
        <v>0</v>
      </c>
      <c r="F108" s="9">
        <v>300000</v>
      </c>
      <c r="G108" s="9">
        <v>0</v>
      </c>
      <c r="H108" s="9">
        <v>0</v>
      </c>
      <c r="I108" s="9">
        <v>900000</v>
      </c>
      <c r="J108" s="10">
        <v>100000</v>
      </c>
      <c r="K108" s="9">
        <v>0</v>
      </c>
      <c r="L108" s="9">
        <v>80000</v>
      </c>
      <c r="M108" s="9">
        <v>265600</v>
      </c>
      <c r="N108" s="9">
        <v>0</v>
      </c>
      <c r="O108" s="9">
        <v>0</v>
      </c>
      <c r="P108" s="9">
        <v>0</v>
      </c>
      <c r="Q108" s="9">
        <v>1645600</v>
      </c>
      <c r="R108" s="8">
        <v>0</v>
      </c>
      <c r="S108" s="8">
        <v>28500</v>
      </c>
      <c r="T108" s="8">
        <v>0</v>
      </c>
      <c r="U108" s="8">
        <v>0</v>
      </c>
      <c r="V108" s="8">
        <v>187569.5</v>
      </c>
      <c r="W108" s="8">
        <v>52904.622000000003</v>
      </c>
      <c r="X108" s="8">
        <v>0</v>
      </c>
      <c r="Y108" s="8">
        <v>0</v>
      </c>
      <c r="Z108" s="8">
        <v>64356.039429999997</v>
      </c>
      <c r="AA108" s="8">
        <v>0</v>
      </c>
      <c r="AB108" s="8">
        <v>0</v>
      </c>
      <c r="AC108" s="8">
        <v>0</v>
      </c>
      <c r="AD108" s="11">
        <v>333330.16142999998</v>
      </c>
      <c r="AE108" s="14">
        <v>0.20255843548249877</v>
      </c>
    </row>
    <row r="109" spans="1:31" ht="11.85" customHeight="1" x14ac:dyDescent="0.2">
      <c r="A109" s="23">
        <v>108</v>
      </c>
      <c r="B109" s="13">
        <v>31832</v>
      </c>
      <c r="C109" s="13">
        <v>25461</v>
      </c>
      <c r="D109" s="12" t="s">
        <v>138</v>
      </c>
      <c r="E109" s="9">
        <v>0</v>
      </c>
      <c r="F109" s="9">
        <v>258040</v>
      </c>
      <c r="G109" s="9">
        <v>0</v>
      </c>
      <c r="H109" s="9">
        <v>0</v>
      </c>
      <c r="I109" s="9">
        <v>4838250</v>
      </c>
      <c r="J109" s="10">
        <v>0</v>
      </c>
      <c r="K109" s="9">
        <v>0</v>
      </c>
      <c r="L109" s="9">
        <v>0</v>
      </c>
      <c r="M109" s="9">
        <v>548335</v>
      </c>
      <c r="N109" s="9">
        <v>0</v>
      </c>
      <c r="O109" s="9">
        <v>0</v>
      </c>
      <c r="P109" s="9">
        <v>0</v>
      </c>
      <c r="Q109" s="9">
        <v>5644625</v>
      </c>
      <c r="R109" s="8">
        <v>0</v>
      </c>
      <c r="S109" s="8">
        <v>240000</v>
      </c>
      <c r="T109" s="8">
        <v>0</v>
      </c>
      <c r="U109" s="8">
        <v>0</v>
      </c>
      <c r="V109" s="8">
        <v>1402038.5</v>
      </c>
      <c r="W109" s="8">
        <v>0</v>
      </c>
      <c r="X109" s="8">
        <v>0</v>
      </c>
      <c r="Y109" s="8">
        <v>0</v>
      </c>
      <c r="Z109" s="8">
        <v>376826.598</v>
      </c>
      <c r="AA109" s="8">
        <v>0</v>
      </c>
      <c r="AB109" s="8">
        <v>0</v>
      </c>
      <c r="AC109" s="8">
        <v>0</v>
      </c>
      <c r="AD109" s="11">
        <v>2018865.098</v>
      </c>
      <c r="AE109" s="14">
        <v>0.35766150948911579</v>
      </c>
    </row>
    <row r="110" spans="1:31" ht="11.85" customHeight="1" x14ac:dyDescent="0.2">
      <c r="A110" s="23">
        <v>109</v>
      </c>
      <c r="B110" s="16">
        <v>31846</v>
      </c>
      <c r="C110" s="16">
        <v>25456</v>
      </c>
      <c r="D110" s="15" t="s">
        <v>139</v>
      </c>
      <c r="E110" s="9">
        <v>0</v>
      </c>
      <c r="F110" s="9">
        <v>1200000</v>
      </c>
      <c r="G110" s="9">
        <v>0</v>
      </c>
      <c r="H110" s="9">
        <v>0</v>
      </c>
      <c r="I110" s="9">
        <v>528250</v>
      </c>
      <c r="J110" s="10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1728250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329877.18719999999</v>
      </c>
      <c r="X110" s="8">
        <v>0</v>
      </c>
      <c r="Y110" s="8">
        <v>0</v>
      </c>
      <c r="Z110" s="8">
        <v>399766.62209999998</v>
      </c>
      <c r="AA110" s="8">
        <v>0</v>
      </c>
      <c r="AB110" s="8">
        <v>0</v>
      </c>
      <c r="AC110" s="8">
        <v>0</v>
      </c>
      <c r="AD110" s="11">
        <v>729643.80929999996</v>
      </c>
      <c r="AE110" s="14">
        <v>0.42218649460436852</v>
      </c>
    </row>
    <row r="111" spans="1:31" ht="11.85" customHeight="1" x14ac:dyDescent="0.2">
      <c r="A111" s="23">
        <v>110</v>
      </c>
      <c r="B111" s="16">
        <v>31852</v>
      </c>
      <c r="C111" s="16">
        <v>25484</v>
      </c>
      <c r="D111" s="15" t="s">
        <v>140</v>
      </c>
      <c r="E111" s="9">
        <v>106291445</v>
      </c>
      <c r="F111" s="9">
        <v>3106025</v>
      </c>
      <c r="G111" s="9">
        <v>5662774</v>
      </c>
      <c r="H111" s="9">
        <v>0</v>
      </c>
      <c r="I111" s="9">
        <v>24410087</v>
      </c>
      <c r="J111" s="10">
        <v>3975712</v>
      </c>
      <c r="K111" s="9">
        <v>0</v>
      </c>
      <c r="L111" s="9">
        <v>0</v>
      </c>
      <c r="M111" s="9">
        <v>7944754</v>
      </c>
      <c r="N111" s="9">
        <v>3249883</v>
      </c>
      <c r="O111" s="9">
        <v>7411957</v>
      </c>
      <c r="P111" s="9">
        <v>0</v>
      </c>
      <c r="Q111" s="9">
        <v>162052637</v>
      </c>
      <c r="R111" s="8">
        <v>81280103.209999993</v>
      </c>
      <c r="S111" s="8">
        <v>2043500</v>
      </c>
      <c r="T111" s="8">
        <v>0</v>
      </c>
      <c r="U111" s="8">
        <v>0</v>
      </c>
      <c r="V111" s="8">
        <v>20991483.370000001</v>
      </c>
      <c r="W111" s="8">
        <v>6641505.6950500002</v>
      </c>
      <c r="X111" s="8">
        <v>0</v>
      </c>
      <c r="Y111" s="8">
        <v>2984160</v>
      </c>
      <c r="Z111" s="8">
        <v>7413967.5711099999</v>
      </c>
      <c r="AA111" s="8">
        <v>0</v>
      </c>
      <c r="AB111" s="8">
        <v>0</v>
      </c>
      <c r="AC111" s="8">
        <v>0</v>
      </c>
      <c r="AD111" s="11">
        <v>121354719.84615999</v>
      </c>
      <c r="AE111" s="18">
        <v>0.80159905523292818</v>
      </c>
    </row>
    <row r="112" spans="1:31" ht="11.85" customHeight="1" x14ac:dyDescent="0.2">
      <c r="A112" s="23">
        <v>111</v>
      </c>
      <c r="B112" s="16">
        <v>31863</v>
      </c>
      <c r="C112" s="16">
        <v>25474</v>
      </c>
      <c r="D112" s="15" t="s">
        <v>141</v>
      </c>
      <c r="E112" s="9">
        <v>0</v>
      </c>
      <c r="F112" s="9">
        <v>386820</v>
      </c>
      <c r="G112" s="9">
        <v>0</v>
      </c>
      <c r="H112" s="9">
        <v>0</v>
      </c>
      <c r="I112" s="9">
        <v>1065302</v>
      </c>
      <c r="J112" s="10">
        <v>213073</v>
      </c>
      <c r="K112" s="9">
        <v>0</v>
      </c>
      <c r="L112" s="9">
        <v>0</v>
      </c>
      <c r="M112" s="9">
        <v>967050</v>
      </c>
      <c r="N112" s="9">
        <v>0</v>
      </c>
      <c r="O112" s="9">
        <v>0</v>
      </c>
      <c r="P112" s="9">
        <v>0</v>
      </c>
      <c r="Q112" s="9">
        <v>2632245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705559.88156999997</v>
      </c>
      <c r="AA112" s="8">
        <v>0</v>
      </c>
      <c r="AB112" s="8">
        <v>0</v>
      </c>
      <c r="AC112" s="8">
        <v>0</v>
      </c>
      <c r="AD112" s="11">
        <v>705559.88156999997</v>
      </c>
      <c r="AE112" s="14">
        <v>0.26804491282916293</v>
      </c>
    </row>
    <row r="113" spans="1:31" ht="11.85" customHeight="1" x14ac:dyDescent="0.2">
      <c r="A113" s="23">
        <v>112</v>
      </c>
      <c r="B113" s="13">
        <v>31864</v>
      </c>
      <c r="C113" s="13">
        <v>25496</v>
      </c>
      <c r="D113" s="12" t="s">
        <v>142</v>
      </c>
      <c r="E113" s="9">
        <v>0</v>
      </c>
      <c r="F113" s="9">
        <v>321350</v>
      </c>
      <c r="G113" s="9">
        <v>0</v>
      </c>
      <c r="H113" s="9">
        <v>0</v>
      </c>
      <c r="I113" s="9">
        <v>578430</v>
      </c>
      <c r="J113" s="10">
        <v>69412</v>
      </c>
      <c r="K113" s="9">
        <v>0</v>
      </c>
      <c r="L113" s="9">
        <v>0</v>
      </c>
      <c r="M113" s="9">
        <v>578430</v>
      </c>
      <c r="N113" s="9">
        <v>0</v>
      </c>
      <c r="O113" s="9">
        <v>0</v>
      </c>
      <c r="P113" s="9">
        <v>0</v>
      </c>
      <c r="Q113" s="9">
        <v>1547622</v>
      </c>
      <c r="R113" s="8">
        <v>0</v>
      </c>
      <c r="S113" s="8">
        <v>0</v>
      </c>
      <c r="T113" s="8">
        <v>0</v>
      </c>
      <c r="U113" s="8">
        <v>0</v>
      </c>
      <c r="V113" s="8">
        <v>303421.25</v>
      </c>
      <c r="W113" s="8">
        <v>0</v>
      </c>
      <c r="X113" s="8">
        <v>0</v>
      </c>
      <c r="Y113" s="8">
        <v>0</v>
      </c>
      <c r="Z113" s="8">
        <v>177320.81857</v>
      </c>
      <c r="AA113" s="8">
        <v>0</v>
      </c>
      <c r="AB113" s="8">
        <v>0</v>
      </c>
      <c r="AC113" s="8">
        <v>0</v>
      </c>
      <c r="AD113" s="11">
        <v>480742.06857</v>
      </c>
      <c r="AE113" s="14">
        <v>0.31063274402276525</v>
      </c>
    </row>
    <row r="114" spans="1:31" ht="11.85" customHeight="1" x14ac:dyDescent="0.2">
      <c r="A114" s="23">
        <v>113</v>
      </c>
      <c r="B114" s="16">
        <v>31862</v>
      </c>
      <c r="C114" s="16">
        <v>25572</v>
      </c>
      <c r="D114" s="15" t="s">
        <v>143</v>
      </c>
      <c r="E114" s="9">
        <v>0</v>
      </c>
      <c r="F114" s="9">
        <v>10546046</v>
      </c>
      <c r="G114" s="9">
        <v>0</v>
      </c>
      <c r="H114" s="9">
        <v>0</v>
      </c>
      <c r="I114" s="9">
        <v>0</v>
      </c>
      <c r="J114" s="10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10546046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12239620.602569999</v>
      </c>
      <c r="AA114" s="8">
        <v>0</v>
      </c>
      <c r="AB114" s="8">
        <v>0</v>
      </c>
      <c r="AC114" s="8">
        <v>0</v>
      </c>
      <c r="AD114" s="11">
        <v>12239620.602569999</v>
      </c>
      <c r="AE114" s="19">
        <v>1.1605885848184239</v>
      </c>
    </row>
    <row r="115" spans="1:31" ht="11.85" customHeight="1" x14ac:dyDescent="0.2">
      <c r="A115" s="23">
        <v>114</v>
      </c>
      <c r="B115" s="13">
        <v>31870</v>
      </c>
      <c r="C115" s="13">
        <v>25573</v>
      </c>
      <c r="D115" s="12" t="s">
        <v>144</v>
      </c>
      <c r="E115" s="9">
        <v>0</v>
      </c>
      <c r="F115" s="9">
        <v>17715094</v>
      </c>
      <c r="G115" s="9">
        <v>25686832</v>
      </c>
      <c r="H115" s="9">
        <v>0</v>
      </c>
      <c r="I115" s="9">
        <v>90756776</v>
      </c>
      <c r="J115" s="10">
        <v>12362992</v>
      </c>
      <c r="K115" s="9">
        <v>0</v>
      </c>
      <c r="L115" s="9">
        <v>7216056</v>
      </c>
      <c r="M115" s="9">
        <v>42274708</v>
      </c>
      <c r="N115" s="9">
        <v>1594386</v>
      </c>
      <c r="O115" s="9">
        <v>0</v>
      </c>
      <c r="P115" s="9">
        <v>0</v>
      </c>
      <c r="Q115" s="9">
        <v>197606844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8841101.3328000009</v>
      </c>
      <c r="AA115" s="8">
        <v>0</v>
      </c>
      <c r="AB115" s="8">
        <v>0</v>
      </c>
      <c r="AC115" s="8">
        <v>0</v>
      </c>
      <c r="AD115" s="11">
        <v>8841101.3328000009</v>
      </c>
      <c r="AE115" s="14">
        <v>4.5104792945354528E-2</v>
      </c>
    </row>
    <row r="116" spans="1:31" ht="11.85" customHeight="1" x14ac:dyDescent="0.2">
      <c r="A116" s="23">
        <v>115</v>
      </c>
      <c r="B116" s="16">
        <v>31871</v>
      </c>
      <c r="C116" s="16">
        <v>25471</v>
      </c>
      <c r="D116" s="15" t="s">
        <v>145</v>
      </c>
      <c r="E116" s="9">
        <v>0</v>
      </c>
      <c r="F116" s="9">
        <v>964840</v>
      </c>
      <c r="G116" s="9">
        <v>10800000</v>
      </c>
      <c r="H116" s="9">
        <v>0</v>
      </c>
      <c r="I116" s="9">
        <v>9253480</v>
      </c>
      <c r="J116" s="10">
        <v>1249760</v>
      </c>
      <c r="K116" s="9">
        <v>0</v>
      </c>
      <c r="L116" s="9">
        <v>508222</v>
      </c>
      <c r="M116" s="9">
        <v>3057323</v>
      </c>
      <c r="N116" s="9">
        <v>0</v>
      </c>
      <c r="O116" s="9">
        <v>0</v>
      </c>
      <c r="P116" s="9">
        <v>0</v>
      </c>
      <c r="Q116" s="9">
        <v>25833625</v>
      </c>
      <c r="R116" s="8">
        <v>0</v>
      </c>
      <c r="S116" s="8">
        <v>658500</v>
      </c>
      <c r="T116" s="8">
        <v>0</v>
      </c>
      <c r="U116" s="8">
        <v>0</v>
      </c>
      <c r="V116" s="8">
        <v>0</v>
      </c>
      <c r="W116" s="8">
        <v>179512.40400000001</v>
      </c>
      <c r="X116" s="8">
        <v>0</v>
      </c>
      <c r="Y116" s="8">
        <v>0</v>
      </c>
      <c r="Z116" s="8">
        <v>5479277.3126400001</v>
      </c>
      <c r="AA116" s="8">
        <v>0</v>
      </c>
      <c r="AB116" s="8">
        <v>0</v>
      </c>
      <c r="AC116" s="8">
        <v>0</v>
      </c>
      <c r="AD116" s="11">
        <v>6317289.7166400002</v>
      </c>
      <c r="AE116" s="14">
        <v>0.24453748618863985</v>
      </c>
    </row>
    <row r="117" spans="1:31" ht="11.85" customHeight="1" x14ac:dyDescent="0.2">
      <c r="A117" s="23">
        <v>116</v>
      </c>
      <c r="B117" s="16">
        <v>31865</v>
      </c>
      <c r="C117" s="16">
        <v>25497</v>
      </c>
      <c r="D117" s="15" t="s">
        <v>146</v>
      </c>
      <c r="E117" s="9">
        <v>0</v>
      </c>
      <c r="F117" s="9">
        <v>321350</v>
      </c>
      <c r="G117" s="9">
        <v>0</v>
      </c>
      <c r="H117" s="9">
        <v>0</v>
      </c>
      <c r="I117" s="9">
        <v>0</v>
      </c>
      <c r="J117" s="10">
        <v>0</v>
      </c>
      <c r="K117" s="9">
        <v>0</v>
      </c>
      <c r="L117" s="9">
        <v>0</v>
      </c>
      <c r="M117" s="9">
        <v>0</v>
      </c>
      <c r="N117" s="9">
        <v>452461</v>
      </c>
      <c r="O117" s="9">
        <v>0</v>
      </c>
      <c r="P117" s="9">
        <v>0</v>
      </c>
      <c r="Q117" s="9">
        <v>773811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218219.04019</v>
      </c>
      <c r="AA117" s="8">
        <v>0</v>
      </c>
      <c r="AB117" s="8">
        <v>0</v>
      </c>
      <c r="AC117" s="8">
        <v>0</v>
      </c>
      <c r="AD117" s="11">
        <v>218219.04019</v>
      </c>
      <c r="AE117" s="14">
        <v>0.67906967540065355</v>
      </c>
    </row>
    <row r="118" spans="1:31" ht="11.85" customHeight="1" x14ac:dyDescent="0.2">
      <c r="A118" s="23">
        <v>117</v>
      </c>
      <c r="B118" s="13">
        <v>31873</v>
      </c>
      <c r="C118" s="13">
        <v>25489</v>
      </c>
      <c r="D118" s="12" t="s">
        <v>147</v>
      </c>
      <c r="E118" s="9">
        <v>56174914</v>
      </c>
      <c r="F118" s="9">
        <v>2149696</v>
      </c>
      <c r="G118" s="9">
        <v>2687529</v>
      </c>
      <c r="H118" s="9">
        <v>0</v>
      </c>
      <c r="I118" s="9">
        <v>18855207</v>
      </c>
      <c r="J118" s="10">
        <v>2149696</v>
      </c>
      <c r="K118" s="9">
        <v>0</v>
      </c>
      <c r="L118" s="9">
        <v>0</v>
      </c>
      <c r="M118" s="9">
        <v>21853665</v>
      </c>
      <c r="N118" s="9">
        <v>7741391</v>
      </c>
      <c r="O118" s="9">
        <v>7158897</v>
      </c>
      <c r="P118" s="9">
        <v>0</v>
      </c>
      <c r="Q118" s="9">
        <v>118770995</v>
      </c>
      <c r="R118" s="8">
        <v>52877464.950000003</v>
      </c>
      <c r="S118" s="8">
        <v>2125727</v>
      </c>
      <c r="T118" s="8">
        <v>818182</v>
      </c>
      <c r="U118" s="8">
        <v>0</v>
      </c>
      <c r="V118" s="8">
        <v>2415883.7000000002</v>
      </c>
      <c r="W118" s="8">
        <v>135778.359</v>
      </c>
      <c r="X118" s="8">
        <v>0</v>
      </c>
      <c r="Y118" s="8">
        <v>13496118</v>
      </c>
      <c r="Z118" s="8">
        <v>4727344.7971200002</v>
      </c>
      <c r="AA118" s="8">
        <v>0</v>
      </c>
      <c r="AB118" s="8">
        <v>0</v>
      </c>
      <c r="AC118" s="8">
        <v>0</v>
      </c>
      <c r="AD118" s="11">
        <v>76596498.806119993</v>
      </c>
      <c r="AE118" s="14">
        <v>0.73742156011434479</v>
      </c>
    </row>
    <row r="119" spans="1:31" ht="11.85" customHeight="1" x14ac:dyDescent="0.2">
      <c r="A119" s="23">
        <v>118</v>
      </c>
      <c r="B119" s="16">
        <v>31878</v>
      </c>
      <c r="C119" s="22">
        <v>25464</v>
      </c>
      <c r="D119" s="15" t="s">
        <v>148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10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295623.32934</v>
      </c>
      <c r="AA119" s="8">
        <v>0</v>
      </c>
      <c r="AB119" s="8">
        <v>0</v>
      </c>
      <c r="AC119" s="8">
        <v>0</v>
      </c>
      <c r="AD119" s="11">
        <v>295623.32934</v>
      </c>
      <c r="AE119" s="17"/>
    </row>
    <row r="120" spans="1:31" ht="11.85" customHeight="1" x14ac:dyDescent="0.2">
      <c r="A120" s="23">
        <v>119</v>
      </c>
      <c r="B120" s="13">
        <v>31890</v>
      </c>
      <c r="C120" s="13">
        <v>25473</v>
      </c>
      <c r="D120" s="12" t="s">
        <v>149</v>
      </c>
      <c r="E120" s="9">
        <v>0</v>
      </c>
      <c r="F120" s="9">
        <v>350000</v>
      </c>
      <c r="G120" s="9">
        <v>0</v>
      </c>
      <c r="H120" s="9">
        <v>0</v>
      </c>
      <c r="I120" s="9">
        <v>550000</v>
      </c>
      <c r="J120" s="10">
        <v>105000</v>
      </c>
      <c r="K120" s="9">
        <v>0</v>
      </c>
      <c r="L120" s="9">
        <v>0</v>
      </c>
      <c r="M120" s="9">
        <v>245000</v>
      </c>
      <c r="N120" s="9">
        <v>0</v>
      </c>
      <c r="O120" s="9">
        <v>0</v>
      </c>
      <c r="P120" s="9">
        <v>0</v>
      </c>
      <c r="Q120" s="9">
        <v>1250000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401358.37887000002</v>
      </c>
      <c r="AA120" s="8">
        <v>0</v>
      </c>
      <c r="AB120" s="8">
        <v>0</v>
      </c>
      <c r="AC120" s="8">
        <v>0</v>
      </c>
      <c r="AD120" s="11">
        <v>401358.37887000002</v>
      </c>
      <c r="AE120" s="14">
        <v>0.32108670309600001</v>
      </c>
    </row>
    <row r="121" spans="1:31" ht="11.85" customHeight="1" x14ac:dyDescent="0.2">
      <c r="A121" s="23">
        <v>120</v>
      </c>
      <c r="B121" s="13">
        <v>31895</v>
      </c>
      <c r="C121" s="13">
        <v>25468</v>
      </c>
      <c r="D121" s="12" t="s">
        <v>150</v>
      </c>
      <c r="E121" s="9">
        <v>0</v>
      </c>
      <c r="F121" s="9">
        <v>322700</v>
      </c>
      <c r="G121" s="9">
        <v>0</v>
      </c>
      <c r="H121" s="9">
        <v>0</v>
      </c>
      <c r="I121" s="9">
        <v>425964</v>
      </c>
      <c r="J121" s="10">
        <v>64540</v>
      </c>
      <c r="K121" s="9">
        <v>0</v>
      </c>
      <c r="L121" s="9">
        <v>0</v>
      </c>
      <c r="M121" s="9">
        <v>360133</v>
      </c>
      <c r="N121" s="9">
        <v>0</v>
      </c>
      <c r="O121" s="9">
        <v>0</v>
      </c>
      <c r="P121" s="9">
        <v>0</v>
      </c>
      <c r="Q121" s="9">
        <v>1173337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175293.23053999999</v>
      </c>
      <c r="AA121" s="8">
        <v>0</v>
      </c>
      <c r="AB121" s="8">
        <v>0</v>
      </c>
      <c r="AC121" s="8">
        <v>0</v>
      </c>
      <c r="AD121" s="11">
        <v>175293.23053999999</v>
      </c>
      <c r="AE121" s="14">
        <v>0.1493971727986077</v>
      </c>
    </row>
    <row r="122" spans="1:31" ht="11.85" customHeight="1" x14ac:dyDescent="0.2">
      <c r="A122" s="23">
        <v>121</v>
      </c>
      <c r="B122" s="16">
        <v>31899</v>
      </c>
      <c r="C122" s="16">
        <v>25520</v>
      </c>
      <c r="D122" s="15" t="s">
        <v>151</v>
      </c>
      <c r="E122" s="9">
        <v>0</v>
      </c>
      <c r="F122" s="9">
        <v>350000</v>
      </c>
      <c r="G122" s="9">
        <v>1000000</v>
      </c>
      <c r="H122" s="9">
        <v>0</v>
      </c>
      <c r="I122" s="9">
        <v>2400000</v>
      </c>
      <c r="J122" s="10">
        <v>32155000</v>
      </c>
      <c r="K122" s="9">
        <v>0</v>
      </c>
      <c r="L122" s="9">
        <v>0</v>
      </c>
      <c r="M122" s="9">
        <v>1500000</v>
      </c>
      <c r="N122" s="9">
        <v>0</v>
      </c>
      <c r="O122" s="9">
        <v>0</v>
      </c>
      <c r="P122" s="9">
        <v>0</v>
      </c>
      <c r="Q122" s="9">
        <v>37405000</v>
      </c>
      <c r="R122" s="8">
        <v>0</v>
      </c>
      <c r="S122" s="8">
        <v>1371727</v>
      </c>
      <c r="T122" s="8">
        <v>0</v>
      </c>
      <c r="U122" s="8">
        <v>0</v>
      </c>
      <c r="V122" s="8">
        <v>217829.5</v>
      </c>
      <c r="W122" s="8">
        <v>32253111.3013</v>
      </c>
      <c r="X122" s="8">
        <v>0</v>
      </c>
      <c r="Y122" s="8">
        <v>265138</v>
      </c>
      <c r="Z122" s="8">
        <v>913341.49924999999</v>
      </c>
      <c r="AA122" s="8">
        <v>0</v>
      </c>
      <c r="AB122" s="8">
        <v>0</v>
      </c>
      <c r="AC122" s="8">
        <v>0</v>
      </c>
      <c r="AD122" s="11">
        <v>35021147.300549999</v>
      </c>
      <c r="AE122" s="18">
        <v>0.93626914317738263</v>
      </c>
    </row>
    <row r="123" spans="1:31" ht="11.85" customHeight="1" x14ac:dyDescent="0.2">
      <c r="A123" s="23">
        <v>122</v>
      </c>
      <c r="B123" s="16">
        <v>31906</v>
      </c>
      <c r="C123" s="16">
        <v>25527</v>
      </c>
      <c r="D123" s="15" t="s">
        <v>152</v>
      </c>
      <c r="E123" s="9">
        <v>0</v>
      </c>
      <c r="F123" s="9">
        <v>119220432</v>
      </c>
      <c r="G123" s="9">
        <v>173774510</v>
      </c>
      <c r="H123" s="9">
        <v>170526385</v>
      </c>
      <c r="I123" s="9">
        <v>695397872</v>
      </c>
      <c r="J123" s="10">
        <v>82542892</v>
      </c>
      <c r="K123" s="9">
        <v>0</v>
      </c>
      <c r="L123" s="9">
        <v>43443628</v>
      </c>
      <c r="M123" s="9">
        <v>177178495</v>
      </c>
      <c r="N123" s="9">
        <v>0</v>
      </c>
      <c r="O123" s="9">
        <v>0</v>
      </c>
      <c r="P123" s="9">
        <v>0</v>
      </c>
      <c r="Q123" s="9">
        <v>1462084214</v>
      </c>
      <c r="R123" s="8">
        <v>0</v>
      </c>
      <c r="S123" s="8">
        <v>14777636</v>
      </c>
      <c r="T123" s="8">
        <v>45340908</v>
      </c>
      <c r="U123" s="8">
        <v>51182383</v>
      </c>
      <c r="V123" s="8">
        <v>0</v>
      </c>
      <c r="W123" s="8">
        <v>455693.73080000002</v>
      </c>
      <c r="X123" s="8">
        <v>0</v>
      </c>
      <c r="Y123" s="8">
        <v>175760969.92500001</v>
      </c>
      <c r="Z123" s="8">
        <v>112899198.29775</v>
      </c>
      <c r="AA123" s="8">
        <v>0</v>
      </c>
      <c r="AB123" s="8">
        <v>0</v>
      </c>
      <c r="AC123" s="8">
        <v>0</v>
      </c>
      <c r="AD123" s="11">
        <v>400416788.95354998</v>
      </c>
      <c r="AE123" s="14">
        <v>0.27386711731062435</v>
      </c>
    </row>
    <row r="124" spans="1:31" ht="11.85" customHeight="1" x14ac:dyDescent="0.2">
      <c r="A124" s="23">
        <v>123</v>
      </c>
      <c r="B124" s="16">
        <v>31914</v>
      </c>
      <c r="C124" s="16">
        <v>25574</v>
      </c>
      <c r="D124" s="15" t="s">
        <v>153</v>
      </c>
      <c r="E124" s="9">
        <v>0</v>
      </c>
      <c r="F124" s="9">
        <v>775920</v>
      </c>
      <c r="G124" s="9">
        <v>0</v>
      </c>
      <c r="H124" s="9">
        <v>0</v>
      </c>
      <c r="I124" s="9">
        <v>8858420</v>
      </c>
      <c r="J124" s="10">
        <v>446154</v>
      </c>
      <c r="K124" s="9">
        <v>0</v>
      </c>
      <c r="L124" s="9">
        <v>446154</v>
      </c>
      <c r="M124" s="9">
        <v>4881830</v>
      </c>
      <c r="N124" s="9">
        <v>0</v>
      </c>
      <c r="O124" s="9">
        <v>0</v>
      </c>
      <c r="P124" s="9">
        <v>0</v>
      </c>
      <c r="Q124" s="9">
        <v>15408478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4910000</v>
      </c>
      <c r="Z124" s="8">
        <v>883807.40685999999</v>
      </c>
      <c r="AA124" s="8">
        <v>0</v>
      </c>
      <c r="AB124" s="8">
        <v>0</v>
      </c>
      <c r="AC124" s="8">
        <v>0</v>
      </c>
      <c r="AD124" s="11">
        <v>5793807.4068600005</v>
      </c>
      <c r="AE124" s="14">
        <v>0.37601425701227598</v>
      </c>
    </row>
    <row r="125" spans="1:31" ht="11.85" customHeight="1" x14ac:dyDescent="0.2">
      <c r="A125" s="23">
        <v>124</v>
      </c>
      <c r="B125" s="13">
        <v>31917</v>
      </c>
      <c r="C125" s="13">
        <v>25528</v>
      </c>
      <c r="D125" s="12" t="s">
        <v>154</v>
      </c>
      <c r="E125" s="9">
        <v>0</v>
      </c>
      <c r="F125" s="9">
        <v>0</v>
      </c>
      <c r="G125" s="9">
        <v>0</v>
      </c>
      <c r="H125" s="9">
        <v>0</v>
      </c>
      <c r="I125" s="9">
        <v>270479600</v>
      </c>
      <c r="J125" s="10">
        <v>210407682</v>
      </c>
      <c r="K125" s="9">
        <v>0</v>
      </c>
      <c r="L125" s="9">
        <v>0</v>
      </c>
      <c r="M125" s="9">
        <v>8653556</v>
      </c>
      <c r="N125" s="9">
        <v>0</v>
      </c>
      <c r="O125" s="9">
        <v>0</v>
      </c>
      <c r="P125" s="9">
        <v>0</v>
      </c>
      <c r="Q125" s="9">
        <v>489540838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3500000</v>
      </c>
      <c r="Z125" s="8">
        <v>23379084.70496</v>
      </c>
      <c r="AA125" s="8">
        <v>0</v>
      </c>
      <c r="AB125" s="8">
        <v>0</v>
      </c>
      <c r="AC125" s="8">
        <v>0</v>
      </c>
      <c r="AD125" s="11">
        <v>26879084.70496</v>
      </c>
      <c r="AE125" s="14">
        <v>5.4906726096179123E-2</v>
      </c>
    </row>
    <row r="126" spans="1:31" ht="11.85" customHeight="1" x14ac:dyDescent="0.2">
      <c r="A126" s="23">
        <v>125</v>
      </c>
      <c r="B126" s="13">
        <v>31924</v>
      </c>
      <c r="C126" s="13">
        <v>25498</v>
      </c>
      <c r="D126" s="12" t="s">
        <v>155</v>
      </c>
      <c r="E126" s="9">
        <v>760000</v>
      </c>
      <c r="F126" s="9">
        <v>584000</v>
      </c>
      <c r="G126" s="9">
        <v>0</v>
      </c>
      <c r="H126" s="9">
        <v>0</v>
      </c>
      <c r="I126" s="9">
        <v>4500000</v>
      </c>
      <c r="J126" s="10">
        <v>365000</v>
      </c>
      <c r="K126" s="9">
        <v>0</v>
      </c>
      <c r="L126" s="9">
        <v>365000</v>
      </c>
      <c r="M126" s="9">
        <v>412223</v>
      </c>
      <c r="N126" s="9">
        <v>0</v>
      </c>
      <c r="O126" s="9">
        <v>0</v>
      </c>
      <c r="P126" s="9">
        <v>0</v>
      </c>
      <c r="Q126" s="9">
        <v>6986223</v>
      </c>
      <c r="R126" s="8">
        <v>1467120.37</v>
      </c>
      <c r="S126" s="8">
        <v>462000</v>
      </c>
      <c r="T126" s="8">
        <v>0</v>
      </c>
      <c r="U126" s="8">
        <v>0</v>
      </c>
      <c r="V126" s="8">
        <v>6079182.7300000004</v>
      </c>
      <c r="W126" s="8">
        <v>2065806.4071</v>
      </c>
      <c r="X126" s="8">
        <v>0</v>
      </c>
      <c r="Y126" s="8">
        <v>101517</v>
      </c>
      <c r="Z126" s="8">
        <v>243694.71857999999</v>
      </c>
      <c r="AA126" s="8">
        <v>0</v>
      </c>
      <c r="AB126" s="8">
        <v>0</v>
      </c>
      <c r="AC126" s="8">
        <v>0</v>
      </c>
      <c r="AD126" s="11">
        <v>10419321.225679999</v>
      </c>
      <c r="AE126" s="19">
        <v>1.4914097682939695</v>
      </c>
    </row>
    <row r="127" spans="1:31" ht="11.85" customHeight="1" x14ac:dyDescent="0.2">
      <c r="A127" s="23">
        <v>126</v>
      </c>
      <c r="B127" s="16">
        <v>31939</v>
      </c>
      <c r="C127" s="16">
        <v>25503</v>
      </c>
      <c r="D127" s="15" t="s">
        <v>156</v>
      </c>
      <c r="E127" s="9">
        <v>0</v>
      </c>
      <c r="F127" s="9">
        <v>600000</v>
      </c>
      <c r="G127" s="9">
        <v>0</v>
      </c>
      <c r="H127" s="9">
        <v>0</v>
      </c>
      <c r="I127" s="9">
        <v>13000000</v>
      </c>
      <c r="J127" s="10">
        <v>990000</v>
      </c>
      <c r="K127" s="9">
        <v>0</v>
      </c>
      <c r="L127" s="9">
        <v>650000</v>
      </c>
      <c r="M127" s="9">
        <v>1900000</v>
      </c>
      <c r="N127" s="9">
        <v>0</v>
      </c>
      <c r="O127" s="9">
        <v>0</v>
      </c>
      <c r="P127" s="9">
        <v>0</v>
      </c>
      <c r="Q127" s="9">
        <v>17140000</v>
      </c>
      <c r="R127" s="8">
        <v>0</v>
      </c>
      <c r="S127" s="8">
        <v>0</v>
      </c>
      <c r="T127" s="8">
        <v>0</v>
      </c>
      <c r="U127" s="8">
        <v>0</v>
      </c>
      <c r="V127" s="8">
        <v>4989861</v>
      </c>
      <c r="W127" s="8">
        <v>0</v>
      </c>
      <c r="X127" s="8">
        <v>0</v>
      </c>
      <c r="Y127" s="8">
        <v>2868636.5</v>
      </c>
      <c r="Z127" s="8">
        <v>397990.22568999999</v>
      </c>
      <c r="AA127" s="8">
        <v>0</v>
      </c>
      <c r="AB127" s="8">
        <v>0</v>
      </c>
      <c r="AC127" s="8">
        <v>0</v>
      </c>
      <c r="AD127" s="11">
        <v>8256487.7256899998</v>
      </c>
      <c r="AE127" s="14">
        <v>0.48170873545449244</v>
      </c>
    </row>
    <row r="128" spans="1:31" ht="11.85" customHeight="1" x14ac:dyDescent="0.2">
      <c r="A128" s="23">
        <v>127</v>
      </c>
      <c r="B128" s="13">
        <v>31927</v>
      </c>
      <c r="C128" s="13">
        <v>25486</v>
      </c>
      <c r="D128" s="12" t="s">
        <v>157</v>
      </c>
      <c r="E128" s="9">
        <v>0</v>
      </c>
      <c r="F128" s="9">
        <v>300000</v>
      </c>
      <c r="G128" s="9">
        <v>0</v>
      </c>
      <c r="H128" s="9">
        <v>0</v>
      </c>
      <c r="I128" s="9">
        <v>900000</v>
      </c>
      <c r="J128" s="10">
        <v>0</v>
      </c>
      <c r="K128" s="9">
        <v>0</v>
      </c>
      <c r="L128" s="9">
        <v>0</v>
      </c>
      <c r="M128" s="9">
        <v>225000</v>
      </c>
      <c r="N128" s="9">
        <v>0</v>
      </c>
      <c r="O128" s="9">
        <v>0</v>
      </c>
      <c r="P128" s="9">
        <v>0</v>
      </c>
      <c r="Q128" s="9">
        <v>1425000</v>
      </c>
      <c r="R128" s="8">
        <v>0</v>
      </c>
      <c r="S128" s="8">
        <v>0</v>
      </c>
      <c r="T128" s="8">
        <v>0</v>
      </c>
      <c r="U128" s="8">
        <v>0</v>
      </c>
      <c r="V128" s="8">
        <v>173900</v>
      </c>
      <c r="W128" s="8">
        <v>1013388.111</v>
      </c>
      <c r="X128" s="8">
        <v>0</v>
      </c>
      <c r="Y128" s="8">
        <v>61178</v>
      </c>
      <c r="Z128" s="8">
        <v>44609.563049999997</v>
      </c>
      <c r="AA128" s="8">
        <v>0</v>
      </c>
      <c r="AB128" s="8">
        <v>0</v>
      </c>
      <c r="AC128" s="8">
        <v>0</v>
      </c>
      <c r="AD128" s="11">
        <v>1293075.67405</v>
      </c>
      <c r="AE128" s="18">
        <v>0.90742152564912293</v>
      </c>
    </row>
    <row r="129" spans="1:31" ht="11.85" customHeight="1" x14ac:dyDescent="0.2">
      <c r="A129" s="23">
        <v>128</v>
      </c>
      <c r="B129" s="16">
        <v>31935</v>
      </c>
      <c r="C129" s="16">
        <v>25512</v>
      </c>
      <c r="D129" s="15" t="s">
        <v>158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10">
        <v>0</v>
      </c>
      <c r="K129" s="9">
        <v>0</v>
      </c>
      <c r="L129" s="9">
        <v>0</v>
      </c>
      <c r="M129" s="9">
        <v>406000</v>
      </c>
      <c r="N129" s="9">
        <v>0</v>
      </c>
      <c r="O129" s="9">
        <v>0</v>
      </c>
      <c r="P129" s="9">
        <v>0</v>
      </c>
      <c r="Q129" s="9">
        <v>406000</v>
      </c>
      <c r="R129" s="8">
        <v>0</v>
      </c>
      <c r="S129" s="8">
        <v>744000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53329.764949999997</v>
      </c>
      <c r="AA129" s="8">
        <v>0</v>
      </c>
      <c r="AB129" s="8">
        <v>0</v>
      </c>
      <c r="AC129" s="8">
        <v>0</v>
      </c>
      <c r="AD129" s="11">
        <v>797329.76494999998</v>
      </c>
      <c r="AE129" s="19">
        <v>1.9638664161330051</v>
      </c>
    </row>
    <row r="130" spans="1:31" ht="11.85" customHeight="1" x14ac:dyDescent="0.2">
      <c r="A130" s="23">
        <v>129</v>
      </c>
      <c r="B130" s="13">
        <v>31931</v>
      </c>
      <c r="C130" s="13">
        <v>25518</v>
      </c>
      <c r="D130" s="12" t="s">
        <v>159</v>
      </c>
      <c r="E130" s="9">
        <v>10742452</v>
      </c>
      <c r="F130" s="9">
        <v>5249622</v>
      </c>
      <c r="G130" s="9">
        <v>15748674</v>
      </c>
      <c r="H130" s="9">
        <v>0</v>
      </c>
      <c r="I130" s="9">
        <v>59289663</v>
      </c>
      <c r="J130" s="10">
        <v>6561964</v>
      </c>
      <c r="K130" s="9">
        <v>0</v>
      </c>
      <c r="L130" s="9">
        <v>0</v>
      </c>
      <c r="M130" s="9">
        <v>37970679</v>
      </c>
      <c r="N130" s="9">
        <v>3634577</v>
      </c>
      <c r="O130" s="9">
        <v>0</v>
      </c>
      <c r="P130" s="9">
        <v>0</v>
      </c>
      <c r="Q130" s="9">
        <v>139197631</v>
      </c>
      <c r="R130" s="8">
        <v>0</v>
      </c>
      <c r="S130" s="8">
        <v>1243500</v>
      </c>
      <c r="T130" s="8">
        <v>0</v>
      </c>
      <c r="U130" s="8">
        <v>0</v>
      </c>
      <c r="V130" s="8">
        <v>0</v>
      </c>
      <c r="W130" s="8">
        <v>130252.151</v>
      </c>
      <c r="X130" s="8">
        <v>0</v>
      </c>
      <c r="Y130" s="8">
        <v>40000</v>
      </c>
      <c r="Z130" s="8">
        <v>8844426.1603200007</v>
      </c>
      <c r="AA130" s="8">
        <v>0</v>
      </c>
      <c r="AB130" s="8">
        <v>0</v>
      </c>
      <c r="AC130" s="8">
        <v>0</v>
      </c>
      <c r="AD130" s="11">
        <v>10258178.311319999</v>
      </c>
      <c r="AE130" s="14">
        <v>7.5670900061900345E-2</v>
      </c>
    </row>
    <row r="131" spans="1:31" ht="11.85" customHeight="1" x14ac:dyDescent="0.2">
      <c r="A131" s="23">
        <v>130</v>
      </c>
      <c r="B131" s="16">
        <v>31933</v>
      </c>
      <c r="C131" s="16">
        <v>25519</v>
      </c>
      <c r="D131" s="15" t="s">
        <v>160</v>
      </c>
      <c r="E131" s="9">
        <v>0</v>
      </c>
      <c r="F131" s="9">
        <v>1944629</v>
      </c>
      <c r="G131" s="9">
        <v>6833276</v>
      </c>
      <c r="H131" s="9">
        <v>0</v>
      </c>
      <c r="I131" s="9">
        <v>24404556</v>
      </c>
      <c r="J131" s="10">
        <v>2440456</v>
      </c>
      <c r="K131" s="9">
        <v>0</v>
      </c>
      <c r="L131" s="9">
        <v>0</v>
      </c>
      <c r="M131" s="9">
        <v>16829797</v>
      </c>
      <c r="N131" s="9">
        <v>0</v>
      </c>
      <c r="O131" s="9">
        <v>0</v>
      </c>
      <c r="P131" s="9">
        <v>0</v>
      </c>
      <c r="Q131" s="9">
        <v>52452714</v>
      </c>
      <c r="R131" s="8">
        <v>0</v>
      </c>
      <c r="S131" s="8">
        <v>1097000</v>
      </c>
      <c r="T131" s="8">
        <v>0</v>
      </c>
      <c r="U131" s="8">
        <v>0</v>
      </c>
      <c r="V131" s="8">
        <v>20479637.550000001</v>
      </c>
      <c r="W131" s="8">
        <v>0</v>
      </c>
      <c r="X131" s="8">
        <v>0</v>
      </c>
      <c r="Y131" s="8">
        <v>0</v>
      </c>
      <c r="Z131" s="8">
        <v>3552940.5110300002</v>
      </c>
      <c r="AA131" s="8">
        <v>0</v>
      </c>
      <c r="AB131" s="8">
        <v>0</v>
      </c>
      <c r="AC131" s="8">
        <v>0</v>
      </c>
      <c r="AD131" s="11">
        <v>25129578.06103</v>
      </c>
      <c r="AE131" s="14">
        <v>0.47909013937829797</v>
      </c>
    </row>
    <row r="132" spans="1:31" ht="11.85" customHeight="1" x14ac:dyDescent="0.2">
      <c r="A132" s="23">
        <v>131</v>
      </c>
      <c r="B132" s="13">
        <v>31932</v>
      </c>
      <c r="C132" s="13">
        <v>25530</v>
      </c>
      <c r="D132" s="12" t="s">
        <v>161</v>
      </c>
      <c r="E132" s="9">
        <v>0</v>
      </c>
      <c r="F132" s="9">
        <v>948263</v>
      </c>
      <c r="G132" s="9">
        <v>2844790</v>
      </c>
      <c r="H132" s="9">
        <v>0</v>
      </c>
      <c r="I132" s="9">
        <v>14976670</v>
      </c>
      <c r="J132" s="10">
        <v>1185281</v>
      </c>
      <c r="K132" s="9">
        <v>0</v>
      </c>
      <c r="L132" s="9">
        <v>0</v>
      </c>
      <c r="M132" s="9">
        <v>6886812</v>
      </c>
      <c r="N132" s="9">
        <v>0</v>
      </c>
      <c r="O132" s="9">
        <v>0</v>
      </c>
      <c r="P132" s="9">
        <v>0</v>
      </c>
      <c r="Q132" s="9">
        <v>26841816</v>
      </c>
      <c r="R132" s="8">
        <v>0</v>
      </c>
      <c r="S132" s="8">
        <v>1255500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1798684.99434</v>
      </c>
      <c r="AA132" s="8">
        <v>0</v>
      </c>
      <c r="AB132" s="8">
        <v>0</v>
      </c>
      <c r="AC132" s="8">
        <v>0</v>
      </c>
      <c r="AD132" s="11">
        <v>3054184.9943400002</v>
      </c>
      <c r="AE132" s="14">
        <v>0.11378458873050915</v>
      </c>
    </row>
    <row r="133" spans="1:31" ht="11.85" customHeight="1" x14ac:dyDescent="0.2">
      <c r="A133" s="23">
        <v>132</v>
      </c>
      <c r="B133" s="16">
        <v>31926</v>
      </c>
      <c r="C133" s="16">
        <v>25607</v>
      </c>
      <c r="D133" s="15" t="s">
        <v>162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10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8034959.7579500005</v>
      </c>
      <c r="AA133" s="8">
        <v>0</v>
      </c>
      <c r="AB133" s="8">
        <v>0</v>
      </c>
      <c r="AC133" s="8">
        <v>0</v>
      </c>
      <c r="AD133" s="11">
        <v>8034959.7579500005</v>
      </c>
      <c r="AE133" s="17"/>
    </row>
    <row r="134" spans="1:31" ht="11.85" customHeight="1" x14ac:dyDescent="0.2">
      <c r="A134" s="23">
        <v>133</v>
      </c>
      <c r="B134" s="13">
        <v>31948</v>
      </c>
      <c r="C134" s="13">
        <v>25596</v>
      </c>
      <c r="D134" s="12" t="s">
        <v>163</v>
      </c>
      <c r="E134" s="9">
        <v>0</v>
      </c>
      <c r="F134" s="9">
        <v>7840000</v>
      </c>
      <c r="G134" s="9">
        <v>7088767</v>
      </c>
      <c r="H134" s="9">
        <v>0</v>
      </c>
      <c r="I134" s="9">
        <v>21714650</v>
      </c>
      <c r="J134" s="10">
        <v>4963349</v>
      </c>
      <c r="K134" s="9">
        <v>17284222</v>
      </c>
      <c r="L134" s="9">
        <v>11235000</v>
      </c>
      <c r="M134" s="9">
        <v>8290311</v>
      </c>
      <c r="N134" s="9">
        <v>0</v>
      </c>
      <c r="O134" s="9">
        <v>0</v>
      </c>
      <c r="P134" s="9">
        <v>0</v>
      </c>
      <c r="Q134" s="9">
        <v>78416299</v>
      </c>
      <c r="R134" s="8">
        <v>0</v>
      </c>
      <c r="S134" s="8">
        <v>2812500</v>
      </c>
      <c r="T134" s="8">
        <v>4909091</v>
      </c>
      <c r="U134" s="8">
        <v>0</v>
      </c>
      <c r="V134" s="8">
        <v>0</v>
      </c>
      <c r="W134" s="8">
        <v>1608208.4742000001</v>
      </c>
      <c r="X134" s="8">
        <v>17875102.289999999</v>
      </c>
      <c r="Y134" s="8">
        <v>25671924</v>
      </c>
      <c r="Z134" s="8">
        <v>7842082.2551800003</v>
      </c>
      <c r="AA134" s="8">
        <v>0</v>
      </c>
      <c r="AB134" s="8">
        <v>0</v>
      </c>
      <c r="AC134" s="8">
        <v>0</v>
      </c>
      <c r="AD134" s="11">
        <v>60718908.019380003</v>
      </c>
      <c r="AE134" s="18">
        <v>0.77431489108380402</v>
      </c>
    </row>
    <row r="135" spans="1:31" ht="11.85" customHeight="1" x14ac:dyDescent="0.2">
      <c r="A135" s="23">
        <v>134</v>
      </c>
      <c r="B135" s="16">
        <v>31951</v>
      </c>
      <c r="C135" s="16">
        <v>25488</v>
      </c>
      <c r="D135" s="15" t="s">
        <v>164</v>
      </c>
      <c r="E135" s="9">
        <v>0</v>
      </c>
      <c r="F135" s="9">
        <v>0</v>
      </c>
      <c r="G135" s="9">
        <v>0</v>
      </c>
      <c r="H135" s="9">
        <v>0</v>
      </c>
      <c r="I135" s="9">
        <v>5488000</v>
      </c>
      <c r="J135" s="10">
        <v>1350000</v>
      </c>
      <c r="K135" s="9">
        <v>0</v>
      </c>
      <c r="L135" s="9">
        <v>0</v>
      </c>
      <c r="M135" s="9">
        <v>1066550</v>
      </c>
      <c r="N135" s="9">
        <v>0</v>
      </c>
      <c r="O135" s="9">
        <v>0</v>
      </c>
      <c r="P135" s="9">
        <v>0</v>
      </c>
      <c r="Q135" s="9">
        <v>7904550</v>
      </c>
      <c r="R135" s="8">
        <v>0</v>
      </c>
      <c r="S135" s="8">
        <v>66500</v>
      </c>
      <c r="T135" s="8">
        <v>0</v>
      </c>
      <c r="U135" s="8">
        <v>0</v>
      </c>
      <c r="V135" s="8">
        <v>4589773.0999999996</v>
      </c>
      <c r="W135" s="8">
        <v>0</v>
      </c>
      <c r="X135" s="8">
        <v>0</v>
      </c>
      <c r="Y135" s="8">
        <v>1000000</v>
      </c>
      <c r="Z135" s="8">
        <v>196166.49123000001</v>
      </c>
      <c r="AA135" s="8">
        <v>0</v>
      </c>
      <c r="AB135" s="8">
        <v>0</v>
      </c>
      <c r="AC135" s="8">
        <v>0</v>
      </c>
      <c r="AD135" s="11">
        <v>5852439.5912300004</v>
      </c>
      <c r="AE135" s="14">
        <v>0.74038871172046472</v>
      </c>
    </row>
    <row r="136" spans="1:31" ht="11.85" customHeight="1" x14ac:dyDescent="0.2">
      <c r="A136" s="23">
        <v>135</v>
      </c>
      <c r="B136" s="13">
        <v>31945</v>
      </c>
      <c r="C136" s="13">
        <v>25481</v>
      </c>
      <c r="D136" s="12" t="s">
        <v>165</v>
      </c>
      <c r="E136" s="9">
        <v>0</v>
      </c>
      <c r="F136" s="9">
        <v>477639</v>
      </c>
      <c r="G136" s="9">
        <v>0</v>
      </c>
      <c r="H136" s="9">
        <v>0</v>
      </c>
      <c r="I136" s="9">
        <v>4285665</v>
      </c>
      <c r="J136" s="10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4763304</v>
      </c>
      <c r="R136" s="8">
        <v>0</v>
      </c>
      <c r="S136" s="8">
        <v>184500</v>
      </c>
      <c r="T136" s="8">
        <v>0</v>
      </c>
      <c r="U136" s="8">
        <v>0</v>
      </c>
      <c r="V136" s="8">
        <v>488920</v>
      </c>
      <c r="W136" s="8">
        <v>0</v>
      </c>
      <c r="X136" s="8">
        <v>0</v>
      </c>
      <c r="Y136" s="8">
        <v>1600000</v>
      </c>
      <c r="Z136" s="8">
        <v>109505.85866</v>
      </c>
      <c r="AA136" s="8">
        <v>0</v>
      </c>
      <c r="AB136" s="8">
        <v>0</v>
      </c>
      <c r="AC136" s="8">
        <v>0</v>
      </c>
      <c r="AD136" s="11">
        <v>2382925.8586599999</v>
      </c>
      <c r="AE136" s="14">
        <v>0.5002674317364586</v>
      </c>
    </row>
    <row r="137" spans="1:31" ht="11.85" customHeight="1" x14ac:dyDescent="0.2">
      <c r="A137" s="23">
        <v>136</v>
      </c>
      <c r="B137" s="16">
        <v>31949</v>
      </c>
      <c r="C137" s="16">
        <v>25482</v>
      </c>
      <c r="D137" s="15" t="s">
        <v>166</v>
      </c>
      <c r="E137" s="9">
        <v>0</v>
      </c>
      <c r="F137" s="9">
        <v>0</v>
      </c>
      <c r="G137" s="9">
        <v>0</v>
      </c>
      <c r="H137" s="9">
        <v>0</v>
      </c>
      <c r="I137" s="9">
        <v>9421920</v>
      </c>
      <c r="J137" s="10">
        <v>0</v>
      </c>
      <c r="K137" s="9">
        <v>0</v>
      </c>
      <c r="L137" s="9">
        <v>0</v>
      </c>
      <c r="M137" s="9">
        <v>1224850</v>
      </c>
      <c r="N137" s="9">
        <v>0</v>
      </c>
      <c r="O137" s="9">
        <v>0</v>
      </c>
      <c r="P137" s="9">
        <v>0</v>
      </c>
      <c r="Q137" s="9">
        <v>10646770</v>
      </c>
      <c r="R137" s="8">
        <v>0</v>
      </c>
      <c r="S137" s="8">
        <v>480000</v>
      </c>
      <c r="T137" s="8">
        <v>0</v>
      </c>
      <c r="U137" s="8">
        <v>0</v>
      </c>
      <c r="V137" s="8">
        <v>8848480.4000000004</v>
      </c>
      <c r="W137" s="8">
        <v>0</v>
      </c>
      <c r="X137" s="8">
        <v>0</v>
      </c>
      <c r="Y137" s="8">
        <v>0</v>
      </c>
      <c r="Z137" s="8">
        <v>225281.55226999999</v>
      </c>
      <c r="AA137" s="8">
        <v>0</v>
      </c>
      <c r="AB137" s="8">
        <v>0</v>
      </c>
      <c r="AC137" s="8">
        <v>0</v>
      </c>
      <c r="AD137" s="11">
        <v>9553761.9522699993</v>
      </c>
      <c r="AE137" s="18">
        <v>0.89733900068001826</v>
      </c>
    </row>
    <row r="138" spans="1:31" ht="11.85" customHeight="1" x14ac:dyDescent="0.2">
      <c r="A138" s="23">
        <v>137</v>
      </c>
      <c r="B138" s="13">
        <v>31953</v>
      </c>
      <c r="C138" s="13">
        <v>25511</v>
      </c>
      <c r="D138" s="12" t="s">
        <v>167</v>
      </c>
      <c r="E138" s="9">
        <v>0</v>
      </c>
      <c r="F138" s="9">
        <v>0</v>
      </c>
      <c r="G138" s="9">
        <v>0</v>
      </c>
      <c r="H138" s="9">
        <v>0</v>
      </c>
      <c r="I138" s="9">
        <v>3434640</v>
      </c>
      <c r="J138" s="10">
        <v>981865</v>
      </c>
      <c r="K138" s="9">
        <v>0</v>
      </c>
      <c r="L138" s="9">
        <v>0</v>
      </c>
      <c r="M138" s="9">
        <v>552925</v>
      </c>
      <c r="N138" s="9">
        <v>0</v>
      </c>
      <c r="O138" s="9">
        <v>0</v>
      </c>
      <c r="P138" s="9">
        <v>0</v>
      </c>
      <c r="Q138" s="9">
        <v>4969430</v>
      </c>
      <c r="R138" s="8">
        <v>0</v>
      </c>
      <c r="S138" s="8">
        <v>583500</v>
      </c>
      <c r="T138" s="8">
        <v>0</v>
      </c>
      <c r="U138" s="8">
        <v>0</v>
      </c>
      <c r="V138" s="8">
        <v>761831.4</v>
      </c>
      <c r="W138" s="8">
        <v>0</v>
      </c>
      <c r="X138" s="8">
        <v>0</v>
      </c>
      <c r="Y138" s="8">
        <v>2463636</v>
      </c>
      <c r="Z138" s="8">
        <v>105542.09626999999</v>
      </c>
      <c r="AA138" s="8">
        <v>0</v>
      </c>
      <c r="AB138" s="8">
        <v>0</v>
      </c>
      <c r="AC138" s="8">
        <v>0</v>
      </c>
      <c r="AD138" s="11">
        <v>3914509.49627</v>
      </c>
      <c r="AE138" s="18">
        <v>0.7877180071497133</v>
      </c>
    </row>
    <row r="139" spans="1:31" ht="11.85" customHeight="1" x14ac:dyDescent="0.2">
      <c r="A139" s="23">
        <v>138</v>
      </c>
      <c r="B139" s="16">
        <v>31943</v>
      </c>
      <c r="C139" s="16">
        <v>25531</v>
      </c>
      <c r="D139" s="15" t="s">
        <v>168</v>
      </c>
      <c r="E139" s="9">
        <v>0</v>
      </c>
      <c r="F139" s="9">
        <v>3095834</v>
      </c>
      <c r="G139" s="9">
        <v>22000000</v>
      </c>
      <c r="H139" s="9">
        <v>0</v>
      </c>
      <c r="I139" s="9">
        <v>18575006</v>
      </c>
      <c r="J139" s="10">
        <v>2476668</v>
      </c>
      <c r="K139" s="9">
        <v>0</v>
      </c>
      <c r="L139" s="9">
        <v>1238334</v>
      </c>
      <c r="M139" s="9">
        <v>8601389</v>
      </c>
      <c r="N139" s="9">
        <v>0</v>
      </c>
      <c r="O139" s="9">
        <v>0</v>
      </c>
      <c r="P139" s="9">
        <v>0</v>
      </c>
      <c r="Q139" s="9">
        <v>55987231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368782</v>
      </c>
      <c r="Z139" s="8">
        <v>3696714.2088000001</v>
      </c>
      <c r="AA139" s="8">
        <v>0</v>
      </c>
      <c r="AB139" s="8">
        <v>0</v>
      </c>
      <c r="AC139" s="8">
        <v>0</v>
      </c>
      <c r="AD139" s="11">
        <v>4065496.2088000001</v>
      </c>
      <c r="AE139" s="14">
        <v>7.2614704034925384E-2</v>
      </c>
    </row>
    <row r="140" spans="1:31" ht="11.85" customHeight="1" x14ac:dyDescent="0.2">
      <c r="A140" s="23">
        <v>139</v>
      </c>
      <c r="B140" s="13">
        <v>31955</v>
      </c>
      <c r="C140" s="13">
        <v>25608</v>
      </c>
      <c r="D140" s="12" t="s">
        <v>169</v>
      </c>
      <c r="E140" s="9">
        <v>0</v>
      </c>
      <c r="F140" s="9">
        <v>0</v>
      </c>
      <c r="G140" s="9">
        <v>11909800</v>
      </c>
      <c r="H140" s="9">
        <v>0</v>
      </c>
      <c r="I140" s="9">
        <v>59707375</v>
      </c>
      <c r="J140" s="10">
        <v>26271245</v>
      </c>
      <c r="K140" s="9">
        <v>0</v>
      </c>
      <c r="L140" s="9">
        <v>9553180</v>
      </c>
      <c r="M140" s="9">
        <v>32181800</v>
      </c>
      <c r="N140" s="9">
        <v>0</v>
      </c>
      <c r="O140" s="9">
        <v>0</v>
      </c>
      <c r="P140" s="9">
        <v>0</v>
      </c>
      <c r="Q140" s="9">
        <v>139623400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8165802.7496400001</v>
      </c>
      <c r="AA140" s="8">
        <v>0</v>
      </c>
      <c r="AB140" s="8">
        <v>0</v>
      </c>
      <c r="AC140" s="8">
        <v>0</v>
      </c>
      <c r="AD140" s="11">
        <v>8165802.7496400001</v>
      </c>
      <c r="AE140" s="14">
        <v>5.8484485764134092E-2</v>
      </c>
    </row>
    <row r="141" spans="1:31" ht="11.85" customHeight="1" x14ac:dyDescent="0.2">
      <c r="A141" s="23">
        <v>140</v>
      </c>
      <c r="B141" s="16">
        <v>31968</v>
      </c>
      <c r="C141" s="16">
        <v>25613</v>
      </c>
      <c r="D141" s="15" t="s">
        <v>170</v>
      </c>
      <c r="E141" s="9">
        <v>0</v>
      </c>
      <c r="F141" s="9">
        <v>1000000</v>
      </c>
      <c r="G141" s="9">
        <v>0</v>
      </c>
      <c r="H141" s="9">
        <v>0</v>
      </c>
      <c r="I141" s="9">
        <v>8050000</v>
      </c>
      <c r="J141" s="10">
        <v>610000</v>
      </c>
      <c r="K141" s="9">
        <v>0</v>
      </c>
      <c r="L141" s="9">
        <v>0</v>
      </c>
      <c r="M141" s="9">
        <v>3711612</v>
      </c>
      <c r="N141" s="9">
        <v>0</v>
      </c>
      <c r="O141" s="9">
        <v>0</v>
      </c>
      <c r="P141" s="9">
        <v>0</v>
      </c>
      <c r="Q141" s="9">
        <v>13371612</v>
      </c>
      <c r="R141" s="8">
        <v>0</v>
      </c>
      <c r="S141" s="8">
        <v>358500</v>
      </c>
      <c r="T141" s="8">
        <v>0</v>
      </c>
      <c r="U141" s="8">
        <v>0</v>
      </c>
      <c r="V141" s="8">
        <v>6010602.21</v>
      </c>
      <c r="W141" s="8">
        <v>298545.88540000003</v>
      </c>
      <c r="X141" s="8">
        <v>0</v>
      </c>
      <c r="Y141" s="8">
        <v>0</v>
      </c>
      <c r="Z141" s="8">
        <v>1177097.6898399999</v>
      </c>
      <c r="AA141" s="8">
        <v>0</v>
      </c>
      <c r="AB141" s="8">
        <v>0</v>
      </c>
      <c r="AC141" s="8">
        <v>0</v>
      </c>
      <c r="AD141" s="11">
        <v>7844745.7852400001</v>
      </c>
      <c r="AE141" s="14">
        <v>0.58667165822938927</v>
      </c>
    </row>
    <row r="142" spans="1:31" ht="11.85" customHeight="1" x14ac:dyDescent="0.2">
      <c r="A142" s="23">
        <v>141</v>
      </c>
      <c r="B142" s="13">
        <v>31972</v>
      </c>
      <c r="C142" s="13">
        <v>25609</v>
      </c>
      <c r="D142" s="12" t="s">
        <v>171</v>
      </c>
      <c r="E142" s="9">
        <v>1640765</v>
      </c>
      <c r="F142" s="9">
        <v>411775</v>
      </c>
      <c r="G142" s="9">
        <v>0</v>
      </c>
      <c r="H142" s="9">
        <v>0</v>
      </c>
      <c r="I142" s="9">
        <v>4877950</v>
      </c>
      <c r="J142" s="10">
        <v>937580</v>
      </c>
      <c r="K142" s="9">
        <v>0</v>
      </c>
      <c r="L142" s="9">
        <v>0</v>
      </c>
      <c r="M142" s="9">
        <v>2559340</v>
      </c>
      <c r="N142" s="9">
        <v>0</v>
      </c>
      <c r="O142" s="9">
        <v>0</v>
      </c>
      <c r="P142" s="9">
        <v>0</v>
      </c>
      <c r="Q142" s="9">
        <v>10427410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696379.90193000005</v>
      </c>
      <c r="AA142" s="8">
        <v>0</v>
      </c>
      <c r="AB142" s="8">
        <v>0</v>
      </c>
      <c r="AC142" s="8">
        <v>0</v>
      </c>
      <c r="AD142" s="11">
        <v>696379.90193000005</v>
      </c>
      <c r="AE142" s="14">
        <v>6.6783592659155067E-2</v>
      </c>
    </row>
    <row r="143" spans="1:31" ht="11.85" customHeight="1" x14ac:dyDescent="0.2">
      <c r="A143" s="23">
        <v>142</v>
      </c>
      <c r="B143" s="13">
        <v>31992</v>
      </c>
      <c r="C143" s="13">
        <v>25623</v>
      </c>
      <c r="D143" s="12" t="s">
        <v>172</v>
      </c>
      <c r="E143" s="9">
        <v>0</v>
      </c>
      <c r="F143" s="9">
        <v>27152436</v>
      </c>
      <c r="G143" s="9">
        <v>0</v>
      </c>
      <c r="H143" s="9">
        <v>0</v>
      </c>
      <c r="I143" s="9">
        <v>0</v>
      </c>
      <c r="J143" s="10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27152436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35416825.386589997</v>
      </c>
      <c r="AA143" s="8">
        <v>0</v>
      </c>
      <c r="AB143" s="8">
        <v>0</v>
      </c>
      <c r="AC143" s="8">
        <v>0</v>
      </c>
      <c r="AD143" s="11">
        <v>35416825.386589997</v>
      </c>
      <c r="AE143" s="19">
        <v>1.3043700899097965</v>
      </c>
    </row>
    <row r="144" spans="1:31" ht="11.85" customHeight="1" x14ac:dyDescent="0.2">
      <c r="A144" s="23">
        <v>143</v>
      </c>
      <c r="B144" s="16">
        <v>31988</v>
      </c>
      <c r="C144" s="16">
        <v>25549</v>
      </c>
      <c r="D144" s="15" t="s">
        <v>173</v>
      </c>
      <c r="E144" s="9">
        <v>0</v>
      </c>
      <c r="F144" s="9">
        <v>0</v>
      </c>
      <c r="G144" s="9">
        <v>0</v>
      </c>
      <c r="H144" s="9">
        <v>0</v>
      </c>
      <c r="I144" s="9">
        <v>844843</v>
      </c>
      <c r="J144" s="10">
        <v>1715700</v>
      </c>
      <c r="K144" s="9">
        <v>0</v>
      </c>
      <c r="L144" s="9">
        <v>0</v>
      </c>
      <c r="M144" s="9">
        <v>947393</v>
      </c>
      <c r="N144" s="9">
        <v>1196088</v>
      </c>
      <c r="O144" s="9">
        <v>0</v>
      </c>
      <c r="P144" s="9">
        <v>0</v>
      </c>
      <c r="Q144" s="9">
        <v>4704024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174258.23663999999</v>
      </c>
      <c r="AA144" s="8">
        <v>0</v>
      </c>
      <c r="AB144" s="8">
        <v>0</v>
      </c>
      <c r="AC144" s="8">
        <v>0</v>
      </c>
      <c r="AD144" s="11">
        <v>174258.23663999999</v>
      </c>
      <c r="AE144" s="14">
        <v>4.967543211734763E-2</v>
      </c>
    </row>
    <row r="145" spans="1:31" ht="11.85" customHeight="1" x14ac:dyDescent="0.2">
      <c r="A145" s="23">
        <v>144</v>
      </c>
      <c r="B145" s="16">
        <v>32007</v>
      </c>
      <c r="C145" s="16">
        <v>25513</v>
      </c>
      <c r="D145" s="15" t="s">
        <v>174</v>
      </c>
      <c r="E145" s="9">
        <v>0</v>
      </c>
      <c r="F145" s="9">
        <v>0</v>
      </c>
      <c r="G145" s="9">
        <v>0</v>
      </c>
      <c r="H145" s="9">
        <v>0</v>
      </c>
      <c r="I145" s="9">
        <v>3308499</v>
      </c>
      <c r="J145" s="10">
        <v>6570285</v>
      </c>
      <c r="K145" s="9">
        <v>0</v>
      </c>
      <c r="L145" s="9">
        <v>0</v>
      </c>
      <c r="M145" s="9">
        <v>1488100</v>
      </c>
      <c r="N145" s="9">
        <v>0</v>
      </c>
      <c r="O145" s="9">
        <v>0</v>
      </c>
      <c r="P145" s="9">
        <v>0</v>
      </c>
      <c r="Q145" s="9">
        <v>11366884</v>
      </c>
      <c r="R145" s="8">
        <v>0</v>
      </c>
      <c r="S145" s="8">
        <v>0</v>
      </c>
      <c r="T145" s="8">
        <v>0</v>
      </c>
      <c r="U145" s="8">
        <v>0</v>
      </c>
      <c r="V145" s="8">
        <v>1151484.6000000001</v>
      </c>
      <c r="W145" s="8">
        <v>0</v>
      </c>
      <c r="X145" s="8">
        <v>0</v>
      </c>
      <c r="Y145" s="8">
        <v>0</v>
      </c>
      <c r="Z145" s="8">
        <v>295583.04690000002</v>
      </c>
      <c r="AA145" s="8">
        <v>0</v>
      </c>
      <c r="AB145" s="8">
        <v>0</v>
      </c>
      <c r="AC145" s="8">
        <v>0</v>
      </c>
      <c r="AD145" s="11">
        <v>1447067.6469000001</v>
      </c>
      <c r="AE145" s="14">
        <v>0.12730557001373463</v>
      </c>
    </row>
    <row r="146" spans="1:31" ht="11.85" customHeight="1" x14ac:dyDescent="0.2">
      <c r="A146" s="23">
        <v>145</v>
      </c>
      <c r="B146" s="13">
        <v>32012</v>
      </c>
      <c r="C146" s="13">
        <v>25567</v>
      </c>
      <c r="D146" s="12" t="s">
        <v>175</v>
      </c>
      <c r="E146" s="9">
        <v>0</v>
      </c>
      <c r="F146" s="9">
        <v>246430</v>
      </c>
      <c r="G146" s="9">
        <v>0</v>
      </c>
      <c r="H146" s="9">
        <v>0</v>
      </c>
      <c r="I146" s="9">
        <v>2571108</v>
      </c>
      <c r="J146" s="10">
        <v>129700</v>
      </c>
      <c r="K146" s="9">
        <v>0</v>
      </c>
      <c r="L146" s="9">
        <v>0</v>
      </c>
      <c r="M146" s="9">
        <v>2068715</v>
      </c>
      <c r="N146" s="9">
        <v>0</v>
      </c>
      <c r="O146" s="9">
        <v>0</v>
      </c>
      <c r="P146" s="9">
        <v>0</v>
      </c>
      <c r="Q146" s="9">
        <v>5015953</v>
      </c>
      <c r="R146" s="8">
        <v>0</v>
      </c>
      <c r="S146" s="8">
        <v>217500</v>
      </c>
      <c r="T146" s="8">
        <v>0</v>
      </c>
      <c r="U146" s="8">
        <v>0</v>
      </c>
      <c r="V146" s="8">
        <v>14382584.34</v>
      </c>
      <c r="W146" s="8">
        <v>995852.43975000002</v>
      </c>
      <c r="X146" s="8">
        <v>0</v>
      </c>
      <c r="Y146" s="8">
        <v>0</v>
      </c>
      <c r="Z146" s="8">
        <v>524849.28090000001</v>
      </c>
      <c r="AA146" s="8">
        <v>0</v>
      </c>
      <c r="AB146" s="8">
        <v>0</v>
      </c>
      <c r="AC146" s="8">
        <v>0</v>
      </c>
      <c r="AD146" s="11">
        <v>16120786.06065</v>
      </c>
      <c r="AE146" s="19">
        <v>3.2139029334305964</v>
      </c>
    </row>
    <row r="147" spans="1:31" ht="11.85" customHeight="1" x14ac:dyDescent="0.2">
      <c r="A147" s="23">
        <v>146</v>
      </c>
      <c r="B147" s="16">
        <v>32013</v>
      </c>
      <c r="C147" s="16">
        <v>25538</v>
      </c>
      <c r="D147" s="15" t="s">
        <v>176</v>
      </c>
      <c r="E147" s="9">
        <v>0</v>
      </c>
      <c r="F147" s="9">
        <v>8730800</v>
      </c>
      <c r="G147" s="9">
        <v>0</v>
      </c>
      <c r="H147" s="9">
        <v>0</v>
      </c>
      <c r="I147" s="9">
        <v>57013920</v>
      </c>
      <c r="J147" s="10">
        <v>11402784</v>
      </c>
      <c r="K147" s="9">
        <v>0</v>
      </c>
      <c r="L147" s="9">
        <v>0</v>
      </c>
      <c r="M147" s="9">
        <v>52805071</v>
      </c>
      <c r="N147" s="9">
        <v>0</v>
      </c>
      <c r="O147" s="9">
        <v>0</v>
      </c>
      <c r="P147" s="9">
        <v>0</v>
      </c>
      <c r="Q147" s="9">
        <v>129952575</v>
      </c>
      <c r="R147" s="8">
        <v>0</v>
      </c>
      <c r="S147" s="8">
        <v>630000</v>
      </c>
      <c r="T147" s="8">
        <v>8500000</v>
      </c>
      <c r="U147" s="8">
        <v>0</v>
      </c>
      <c r="V147" s="8">
        <v>0</v>
      </c>
      <c r="W147" s="8">
        <v>31834036.370000001</v>
      </c>
      <c r="X147" s="8">
        <v>0</v>
      </c>
      <c r="Y147" s="8">
        <v>41231272.5</v>
      </c>
      <c r="Z147" s="8">
        <v>11776004.6274</v>
      </c>
      <c r="AA147" s="8">
        <v>0</v>
      </c>
      <c r="AB147" s="8">
        <v>0</v>
      </c>
      <c r="AC147" s="8">
        <v>0</v>
      </c>
      <c r="AD147" s="11">
        <v>93971313.497400001</v>
      </c>
      <c r="AE147" s="14">
        <v>0.72312005743172081</v>
      </c>
    </row>
    <row r="148" spans="1:31" ht="11.85" customHeight="1" x14ac:dyDescent="0.2">
      <c r="A148" s="23">
        <v>147</v>
      </c>
      <c r="B148" s="13">
        <v>32014</v>
      </c>
      <c r="C148" s="13">
        <v>25539</v>
      </c>
      <c r="D148" s="12" t="s">
        <v>177</v>
      </c>
      <c r="E148" s="9">
        <v>0</v>
      </c>
      <c r="F148" s="9">
        <v>5928040</v>
      </c>
      <c r="G148" s="9">
        <v>0</v>
      </c>
      <c r="H148" s="9">
        <v>0</v>
      </c>
      <c r="I148" s="9">
        <v>33303800</v>
      </c>
      <c r="J148" s="10">
        <v>9856080</v>
      </c>
      <c r="K148" s="9">
        <v>0</v>
      </c>
      <c r="L148" s="9">
        <v>0</v>
      </c>
      <c r="M148" s="9">
        <v>32477107</v>
      </c>
      <c r="N148" s="9">
        <v>0</v>
      </c>
      <c r="O148" s="9">
        <v>0</v>
      </c>
      <c r="P148" s="9">
        <v>0</v>
      </c>
      <c r="Q148" s="9">
        <v>81565027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201818</v>
      </c>
      <c r="Z148" s="8">
        <v>7242664.1665500002</v>
      </c>
      <c r="AA148" s="8">
        <v>0</v>
      </c>
      <c r="AB148" s="8">
        <v>0</v>
      </c>
      <c r="AC148" s="8">
        <v>0</v>
      </c>
      <c r="AD148" s="11">
        <v>7444482.1665500002</v>
      </c>
      <c r="AE148" s="14">
        <v>9.1270516793306514E-2</v>
      </c>
    </row>
    <row r="149" spans="1:31" ht="11.85" customHeight="1" x14ac:dyDescent="0.2">
      <c r="A149" s="23">
        <v>148</v>
      </c>
      <c r="B149" s="16">
        <v>32015</v>
      </c>
      <c r="C149" s="16">
        <v>25540</v>
      </c>
      <c r="D149" s="15" t="s">
        <v>178</v>
      </c>
      <c r="E149" s="9">
        <v>0</v>
      </c>
      <c r="F149" s="9">
        <v>8730800</v>
      </c>
      <c r="G149" s="9">
        <v>0</v>
      </c>
      <c r="H149" s="9">
        <v>0</v>
      </c>
      <c r="I149" s="9">
        <v>57013920</v>
      </c>
      <c r="J149" s="10">
        <v>11402784</v>
      </c>
      <c r="K149" s="9">
        <v>0</v>
      </c>
      <c r="L149" s="9">
        <v>0</v>
      </c>
      <c r="M149" s="9">
        <v>52805071</v>
      </c>
      <c r="N149" s="9">
        <v>0</v>
      </c>
      <c r="O149" s="9">
        <v>0</v>
      </c>
      <c r="P149" s="9">
        <v>0</v>
      </c>
      <c r="Q149" s="9">
        <v>129952575</v>
      </c>
      <c r="R149" s="8">
        <v>0</v>
      </c>
      <c r="S149" s="8">
        <v>1873500</v>
      </c>
      <c r="T149" s="8">
        <v>24800000</v>
      </c>
      <c r="U149" s="8">
        <v>28603636</v>
      </c>
      <c r="V149" s="8">
        <v>2580334.2999999998</v>
      </c>
      <c r="W149" s="8">
        <v>3857681.8428000002</v>
      </c>
      <c r="X149" s="8">
        <v>0</v>
      </c>
      <c r="Y149" s="8">
        <v>64058180.5</v>
      </c>
      <c r="Z149" s="8">
        <v>11776004.6274</v>
      </c>
      <c r="AA149" s="8">
        <v>0</v>
      </c>
      <c r="AB149" s="8">
        <v>0</v>
      </c>
      <c r="AC149" s="8">
        <v>0</v>
      </c>
      <c r="AD149" s="11">
        <v>137549337.27020001</v>
      </c>
      <c r="AE149" s="19">
        <v>1.0584579587607248</v>
      </c>
    </row>
    <row r="150" spans="1:31" ht="11.85" customHeight="1" x14ac:dyDescent="0.2">
      <c r="A150" s="23">
        <v>149</v>
      </c>
      <c r="B150" s="13">
        <v>32032</v>
      </c>
      <c r="C150" s="13">
        <v>25521</v>
      </c>
      <c r="D150" s="12" t="s">
        <v>179</v>
      </c>
      <c r="E150" s="9">
        <v>0</v>
      </c>
      <c r="F150" s="9">
        <v>0</v>
      </c>
      <c r="G150" s="9">
        <v>0</v>
      </c>
      <c r="H150" s="9">
        <v>0</v>
      </c>
      <c r="I150" s="9">
        <v>3776067</v>
      </c>
      <c r="J150" s="10">
        <v>0</v>
      </c>
      <c r="K150" s="9">
        <v>0</v>
      </c>
      <c r="L150" s="9">
        <v>0</v>
      </c>
      <c r="M150" s="9">
        <v>667161</v>
      </c>
      <c r="N150" s="9">
        <v>0</v>
      </c>
      <c r="O150" s="9">
        <v>0</v>
      </c>
      <c r="P150" s="9">
        <v>0</v>
      </c>
      <c r="Q150" s="9">
        <v>4443228</v>
      </c>
      <c r="R150" s="8">
        <v>0</v>
      </c>
      <c r="S150" s="8">
        <v>0</v>
      </c>
      <c r="T150" s="8">
        <v>0</v>
      </c>
      <c r="U150" s="8">
        <v>0</v>
      </c>
      <c r="V150" s="8">
        <v>1581562</v>
      </c>
      <c r="W150" s="8">
        <v>0</v>
      </c>
      <c r="X150" s="8">
        <v>0</v>
      </c>
      <c r="Y150" s="8">
        <v>0</v>
      </c>
      <c r="Z150" s="8">
        <v>122766.2469</v>
      </c>
      <c r="AA150" s="8">
        <v>0</v>
      </c>
      <c r="AB150" s="8">
        <v>0</v>
      </c>
      <c r="AC150" s="8">
        <v>0</v>
      </c>
      <c r="AD150" s="11">
        <v>1704328.2468999999</v>
      </c>
      <c r="AE150" s="14">
        <v>0.38357884108130391</v>
      </c>
    </row>
    <row r="151" spans="1:31" ht="11.85" customHeight="1" x14ac:dyDescent="0.2">
      <c r="A151" s="23">
        <v>150</v>
      </c>
      <c r="B151" s="16">
        <v>32033</v>
      </c>
      <c r="C151" s="16">
        <v>25674</v>
      </c>
      <c r="D151" s="15" t="s">
        <v>180</v>
      </c>
      <c r="E151" s="9">
        <v>3355943</v>
      </c>
      <c r="F151" s="9">
        <v>200000</v>
      </c>
      <c r="G151" s="9">
        <v>0</v>
      </c>
      <c r="H151" s="9">
        <v>0</v>
      </c>
      <c r="I151" s="9">
        <v>4950000</v>
      </c>
      <c r="J151" s="10">
        <v>579879</v>
      </c>
      <c r="K151" s="9">
        <v>0</v>
      </c>
      <c r="L151" s="9">
        <v>115976</v>
      </c>
      <c r="M151" s="9">
        <v>1980424</v>
      </c>
      <c r="N151" s="9">
        <v>0</v>
      </c>
      <c r="O151" s="9">
        <v>0</v>
      </c>
      <c r="P151" s="9">
        <v>0</v>
      </c>
      <c r="Q151" s="9">
        <v>11182222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372780.37796000001</v>
      </c>
      <c r="AA151" s="8">
        <v>0</v>
      </c>
      <c r="AB151" s="8">
        <v>0</v>
      </c>
      <c r="AC151" s="8">
        <v>0</v>
      </c>
      <c r="AD151" s="11">
        <v>372780.37796000001</v>
      </c>
      <c r="AE151" s="14">
        <v>3.3336878659715394E-2</v>
      </c>
    </row>
    <row r="152" spans="1:31" ht="11.85" customHeight="1" x14ac:dyDescent="0.2">
      <c r="A152" s="23">
        <v>151</v>
      </c>
      <c r="B152" s="13">
        <v>32048</v>
      </c>
      <c r="C152" s="13">
        <v>25673</v>
      </c>
      <c r="D152" s="12" t="s">
        <v>181</v>
      </c>
      <c r="E152" s="9">
        <v>0</v>
      </c>
      <c r="F152" s="9">
        <v>8820000</v>
      </c>
      <c r="G152" s="9">
        <v>10155000</v>
      </c>
      <c r="H152" s="9">
        <v>0</v>
      </c>
      <c r="I152" s="9">
        <v>24855000</v>
      </c>
      <c r="J152" s="10">
        <v>3102315</v>
      </c>
      <c r="K152" s="9">
        <v>2260000</v>
      </c>
      <c r="L152" s="9">
        <v>15666000</v>
      </c>
      <c r="M152" s="9">
        <v>4318519</v>
      </c>
      <c r="N152" s="9">
        <v>0</v>
      </c>
      <c r="O152" s="9">
        <v>0</v>
      </c>
      <c r="P152" s="9">
        <v>0</v>
      </c>
      <c r="Q152" s="9">
        <v>69176834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138909</v>
      </c>
      <c r="Z152" s="8">
        <v>4398035.8762100004</v>
      </c>
      <c r="AA152" s="8">
        <v>0</v>
      </c>
      <c r="AB152" s="8">
        <v>0</v>
      </c>
      <c r="AC152" s="8">
        <v>0</v>
      </c>
      <c r="AD152" s="11">
        <v>4536944.8762100004</v>
      </c>
      <c r="AE152" s="14">
        <v>6.5584742953255143E-2</v>
      </c>
    </row>
    <row r="153" spans="1:31" ht="11.85" customHeight="1" x14ac:dyDescent="0.2">
      <c r="A153" s="23">
        <v>152</v>
      </c>
      <c r="B153" s="16">
        <v>32047</v>
      </c>
      <c r="C153" s="16">
        <v>25547</v>
      </c>
      <c r="D153" s="15" t="s">
        <v>182</v>
      </c>
      <c r="E153" s="9">
        <v>98000784</v>
      </c>
      <c r="F153" s="9">
        <v>2143808</v>
      </c>
      <c r="G153" s="9">
        <v>0</v>
      </c>
      <c r="H153" s="9">
        <v>0</v>
      </c>
      <c r="I153" s="9">
        <v>14588352</v>
      </c>
      <c r="J153" s="10">
        <v>2575184</v>
      </c>
      <c r="K153" s="9">
        <v>0</v>
      </c>
      <c r="L153" s="9">
        <v>0</v>
      </c>
      <c r="M153" s="9">
        <v>4989125</v>
      </c>
      <c r="N153" s="9">
        <v>2934664</v>
      </c>
      <c r="O153" s="9">
        <v>0</v>
      </c>
      <c r="P153" s="9">
        <v>0</v>
      </c>
      <c r="Q153" s="9">
        <v>125231917</v>
      </c>
      <c r="R153" s="8">
        <v>0</v>
      </c>
      <c r="S153" s="8">
        <v>850500</v>
      </c>
      <c r="T153" s="8">
        <v>0</v>
      </c>
      <c r="U153" s="8">
        <v>0</v>
      </c>
      <c r="V153" s="8">
        <v>6880889.71</v>
      </c>
      <c r="W153" s="8">
        <v>689252.75580000004</v>
      </c>
      <c r="X153" s="8">
        <v>0</v>
      </c>
      <c r="Y153" s="8">
        <v>600000</v>
      </c>
      <c r="Z153" s="8">
        <v>4611064.6383499997</v>
      </c>
      <c r="AA153" s="8">
        <v>0</v>
      </c>
      <c r="AB153" s="8">
        <v>0</v>
      </c>
      <c r="AC153" s="8">
        <v>0</v>
      </c>
      <c r="AD153" s="11">
        <v>13631707.104149999</v>
      </c>
      <c r="AE153" s="14">
        <v>0.11146372277184344</v>
      </c>
    </row>
    <row r="154" spans="1:31" ht="11.85" customHeight="1" x14ac:dyDescent="0.2">
      <c r="A154" s="23">
        <v>153</v>
      </c>
      <c r="B154" s="13">
        <v>32057</v>
      </c>
      <c r="C154" s="13">
        <v>25662</v>
      </c>
      <c r="D154" s="12" t="s">
        <v>183</v>
      </c>
      <c r="E154" s="9">
        <v>0</v>
      </c>
      <c r="F154" s="9">
        <v>300000</v>
      </c>
      <c r="G154" s="9">
        <v>0</v>
      </c>
      <c r="H154" s="9">
        <v>0</v>
      </c>
      <c r="I154" s="9">
        <v>4500000</v>
      </c>
      <c r="J154" s="10">
        <v>674500</v>
      </c>
      <c r="K154" s="9">
        <v>0</v>
      </c>
      <c r="L154" s="9">
        <v>400000</v>
      </c>
      <c r="M154" s="9">
        <v>296888</v>
      </c>
      <c r="N154" s="9">
        <v>750000</v>
      </c>
      <c r="O154" s="9">
        <v>0</v>
      </c>
      <c r="P154" s="9">
        <v>0</v>
      </c>
      <c r="Q154" s="9">
        <v>6921388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216662.28143</v>
      </c>
      <c r="AA154" s="8">
        <v>0</v>
      </c>
      <c r="AB154" s="8">
        <v>0</v>
      </c>
      <c r="AC154" s="8">
        <v>0</v>
      </c>
      <c r="AD154" s="11">
        <v>216662.28143</v>
      </c>
      <c r="AE154" s="14">
        <v>3.5107544920202717E-2</v>
      </c>
    </row>
    <row r="155" spans="1:31" ht="11.85" customHeight="1" x14ac:dyDescent="0.2">
      <c r="A155" s="23">
        <v>154</v>
      </c>
      <c r="B155" s="16">
        <v>32051</v>
      </c>
      <c r="C155" s="22">
        <v>25525</v>
      </c>
      <c r="D155" s="15" t="s">
        <v>184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10">
        <v>0</v>
      </c>
      <c r="K155" s="9">
        <v>0</v>
      </c>
      <c r="L155" s="9">
        <v>0</v>
      </c>
      <c r="M155" s="9">
        <v>0</v>
      </c>
      <c r="N155" s="9">
        <v>3892200</v>
      </c>
      <c r="O155" s="9">
        <v>0</v>
      </c>
      <c r="P155" s="9">
        <v>0</v>
      </c>
      <c r="Q155" s="9">
        <v>3892200</v>
      </c>
      <c r="R155" s="8">
        <v>0</v>
      </c>
      <c r="S155" s="8">
        <v>0</v>
      </c>
      <c r="T155" s="8">
        <v>0</v>
      </c>
      <c r="U155" s="8">
        <v>3404937</v>
      </c>
      <c r="V155" s="8">
        <v>0</v>
      </c>
      <c r="W155" s="8">
        <v>0</v>
      </c>
      <c r="X155" s="8">
        <v>0</v>
      </c>
      <c r="Y155" s="8">
        <v>3404937</v>
      </c>
      <c r="Z155" s="8">
        <v>89471.170299999998</v>
      </c>
      <c r="AA155" s="8">
        <v>0</v>
      </c>
      <c r="AB155" s="8">
        <v>0</v>
      </c>
      <c r="AC155" s="8">
        <v>0</v>
      </c>
      <c r="AD155" s="11">
        <v>6899345.1703000003</v>
      </c>
      <c r="AE155" s="17">
        <f>+AD155/Q155</f>
        <v>1.7726080803401676</v>
      </c>
    </row>
    <row r="156" spans="1:31" ht="11.85" customHeight="1" x14ac:dyDescent="0.2">
      <c r="A156" s="23">
        <v>155</v>
      </c>
      <c r="B156" s="13">
        <v>32063</v>
      </c>
      <c r="C156" s="13">
        <v>25563</v>
      </c>
      <c r="D156" s="12" t="s">
        <v>185</v>
      </c>
      <c r="E156" s="9">
        <v>5110000</v>
      </c>
      <c r="F156" s="9">
        <v>300000</v>
      </c>
      <c r="G156" s="9">
        <v>0</v>
      </c>
      <c r="H156" s="9">
        <v>8500000</v>
      </c>
      <c r="I156" s="9">
        <v>5376000</v>
      </c>
      <c r="J156" s="10">
        <v>200000</v>
      </c>
      <c r="K156" s="9">
        <v>0</v>
      </c>
      <c r="L156" s="9">
        <v>100000</v>
      </c>
      <c r="M156" s="9">
        <v>2107170</v>
      </c>
      <c r="N156" s="9">
        <v>434350</v>
      </c>
      <c r="O156" s="9">
        <v>0</v>
      </c>
      <c r="P156" s="9">
        <v>0</v>
      </c>
      <c r="Q156" s="9">
        <v>22127520</v>
      </c>
      <c r="R156" s="8">
        <v>0</v>
      </c>
      <c r="S156" s="8">
        <v>333000</v>
      </c>
      <c r="T156" s="8">
        <v>0</v>
      </c>
      <c r="U156" s="8">
        <v>6000000</v>
      </c>
      <c r="V156" s="8">
        <v>1334376.8</v>
      </c>
      <c r="W156" s="8">
        <v>0</v>
      </c>
      <c r="X156" s="8">
        <v>0</v>
      </c>
      <c r="Y156" s="8">
        <v>6134212</v>
      </c>
      <c r="Z156" s="8">
        <v>853944.44709999999</v>
      </c>
      <c r="AA156" s="8">
        <v>0</v>
      </c>
      <c r="AB156" s="8">
        <v>0</v>
      </c>
      <c r="AC156" s="8">
        <v>0</v>
      </c>
      <c r="AD156" s="11">
        <v>14655533.247099999</v>
      </c>
      <c r="AE156" s="14">
        <v>0.67558283308064249</v>
      </c>
    </row>
    <row r="157" spans="1:31" ht="11.85" customHeight="1" x14ac:dyDescent="0.2">
      <c r="A157" s="23">
        <v>156</v>
      </c>
      <c r="B157" s="13">
        <v>32074</v>
      </c>
      <c r="C157" s="13">
        <v>25731</v>
      </c>
      <c r="D157" s="12" t="s">
        <v>186</v>
      </c>
      <c r="E157" s="9">
        <v>0</v>
      </c>
      <c r="F157" s="9">
        <v>1341120</v>
      </c>
      <c r="G157" s="9">
        <v>3188208</v>
      </c>
      <c r="H157" s="9">
        <v>0</v>
      </c>
      <c r="I157" s="9">
        <v>11204448</v>
      </c>
      <c r="J157" s="10">
        <v>2133600</v>
      </c>
      <c r="K157" s="9">
        <v>0</v>
      </c>
      <c r="L157" s="9">
        <v>1286256</v>
      </c>
      <c r="M157" s="9">
        <v>9144000</v>
      </c>
      <c r="N157" s="9">
        <v>0</v>
      </c>
      <c r="O157" s="9">
        <v>0</v>
      </c>
      <c r="P157" s="9">
        <v>0</v>
      </c>
      <c r="Q157" s="9">
        <v>28297632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11">
        <v>0</v>
      </c>
      <c r="AE157" s="17">
        <v>0</v>
      </c>
    </row>
    <row r="158" spans="1:31" ht="11.85" customHeight="1" x14ac:dyDescent="0.2">
      <c r="A158" s="23">
        <v>157</v>
      </c>
      <c r="B158" s="16">
        <v>32071</v>
      </c>
      <c r="C158" s="16">
        <v>25643</v>
      </c>
      <c r="D158" s="15" t="s">
        <v>187</v>
      </c>
      <c r="E158" s="9">
        <v>0</v>
      </c>
      <c r="F158" s="9">
        <v>0</v>
      </c>
      <c r="G158" s="9">
        <v>0</v>
      </c>
      <c r="H158" s="9">
        <v>0</v>
      </c>
      <c r="I158" s="9">
        <v>220000</v>
      </c>
      <c r="J158" s="10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220000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77646.177240000005</v>
      </c>
      <c r="AA158" s="8">
        <v>0</v>
      </c>
      <c r="AB158" s="8">
        <v>0</v>
      </c>
      <c r="AC158" s="8">
        <v>0</v>
      </c>
      <c r="AD158" s="11">
        <v>77646.177240000005</v>
      </c>
      <c r="AE158" s="14">
        <v>0.35293716927272728</v>
      </c>
    </row>
    <row r="159" spans="1:31" ht="11.85" customHeight="1" x14ac:dyDescent="0.2">
      <c r="A159" s="23">
        <v>158</v>
      </c>
      <c r="B159" s="13">
        <v>32081</v>
      </c>
      <c r="C159" s="13">
        <v>25565</v>
      </c>
      <c r="D159" s="12" t="s">
        <v>188</v>
      </c>
      <c r="E159" s="9">
        <v>88520250</v>
      </c>
      <c r="F159" s="9">
        <v>1621250</v>
      </c>
      <c r="G159" s="9">
        <v>7782000</v>
      </c>
      <c r="H159" s="9">
        <v>0</v>
      </c>
      <c r="I159" s="9">
        <v>19895980</v>
      </c>
      <c r="J159" s="10">
        <v>2165990</v>
      </c>
      <c r="K159" s="9">
        <v>0</v>
      </c>
      <c r="L159" s="9">
        <v>0</v>
      </c>
      <c r="M159" s="9">
        <v>26454909</v>
      </c>
      <c r="N159" s="9">
        <v>2165990</v>
      </c>
      <c r="O159" s="9">
        <v>4202280</v>
      </c>
      <c r="P159" s="9">
        <v>11971310</v>
      </c>
      <c r="Q159" s="9">
        <v>164779959</v>
      </c>
      <c r="R159" s="8">
        <v>0</v>
      </c>
      <c r="S159" s="8">
        <v>156000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609600</v>
      </c>
      <c r="Z159" s="8">
        <v>8161336.60305</v>
      </c>
      <c r="AA159" s="8">
        <v>0</v>
      </c>
      <c r="AB159" s="8">
        <v>0</v>
      </c>
      <c r="AC159" s="8">
        <v>0</v>
      </c>
      <c r="AD159" s="11">
        <v>8926936.6030499991</v>
      </c>
      <c r="AE159" s="14">
        <v>6.0959529495959577E-2</v>
      </c>
    </row>
    <row r="160" spans="1:31" ht="11.85" customHeight="1" x14ac:dyDescent="0.2">
      <c r="A160" s="23">
        <v>159</v>
      </c>
      <c r="B160" s="16">
        <v>32086</v>
      </c>
      <c r="C160" s="16">
        <v>25629</v>
      </c>
      <c r="D160" s="15" t="s">
        <v>189</v>
      </c>
      <c r="E160" s="9">
        <v>0</v>
      </c>
      <c r="F160" s="9">
        <v>690388</v>
      </c>
      <c r="G160" s="9">
        <v>0</v>
      </c>
      <c r="H160" s="9">
        <v>0</v>
      </c>
      <c r="I160" s="9">
        <v>12489177</v>
      </c>
      <c r="J160" s="10">
        <v>652714</v>
      </c>
      <c r="K160" s="9">
        <v>1581125</v>
      </c>
      <c r="L160" s="9">
        <v>326357</v>
      </c>
      <c r="M160" s="9">
        <v>1624112</v>
      </c>
      <c r="N160" s="9">
        <v>0</v>
      </c>
      <c r="O160" s="9">
        <v>0</v>
      </c>
      <c r="P160" s="9">
        <v>0</v>
      </c>
      <c r="Q160" s="9">
        <v>17363873</v>
      </c>
      <c r="R160" s="8">
        <v>0</v>
      </c>
      <c r="S160" s="8">
        <v>243000</v>
      </c>
      <c r="T160" s="8">
        <v>0</v>
      </c>
      <c r="U160" s="8">
        <v>0</v>
      </c>
      <c r="V160" s="8">
        <v>2832311.55</v>
      </c>
      <c r="W160" s="8">
        <v>0</v>
      </c>
      <c r="X160" s="8">
        <v>0</v>
      </c>
      <c r="Y160" s="8">
        <v>0</v>
      </c>
      <c r="Z160" s="8">
        <v>1403660.5681700001</v>
      </c>
      <c r="AA160" s="8">
        <v>0</v>
      </c>
      <c r="AB160" s="8">
        <v>0</v>
      </c>
      <c r="AC160" s="8">
        <v>0</v>
      </c>
      <c r="AD160" s="11">
        <v>4478972.1181699997</v>
      </c>
      <c r="AE160" s="14">
        <v>0.25794775843903023</v>
      </c>
    </row>
    <row r="161" spans="1:31" ht="11.85" customHeight="1" x14ac:dyDescent="0.2">
      <c r="A161" s="23">
        <v>160</v>
      </c>
      <c r="B161" s="13">
        <v>32089</v>
      </c>
      <c r="C161" s="13">
        <v>25626</v>
      </c>
      <c r="D161" s="12" t="s">
        <v>190</v>
      </c>
      <c r="E161" s="9">
        <v>1404259</v>
      </c>
      <c r="F161" s="9">
        <v>723954</v>
      </c>
      <c r="G161" s="9">
        <v>0</v>
      </c>
      <c r="H161" s="9">
        <v>0</v>
      </c>
      <c r="I161" s="9">
        <v>5400000</v>
      </c>
      <c r="J161" s="10">
        <v>320000</v>
      </c>
      <c r="K161" s="9">
        <v>0</v>
      </c>
      <c r="L161" s="9">
        <v>304118</v>
      </c>
      <c r="M161" s="9">
        <v>767994</v>
      </c>
      <c r="N161" s="9">
        <v>1250000</v>
      </c>
      <c r="O161" s="9">
        <v>8400000</v>
      </c>
      <c r="P161" s="9">
        <v>0</v>
      </c>
      <c r="Q161" s="9">
        <v>18570325</v>
      </c>
      <c r="R161" s="8">
        <v>0</v>
      </c>
      <c r="S161" s="8">
        <v>310500</v>
      </c>
      <c r="T161" s="8">
        <v>0</v>
      </c>
      <c r="U161" s="8">
        <v>0</v>
      </c>
      <c r="V161" s="8">
        <v>1284834.8</v>
      </c>
      <c r="W161" s="8">
        <v>335469.804</v>
      </c>
      <c r="X161" s="8">
        <v>0</v>
      </c>
      <c r="Y161" s="8">
        <v>0</v>
      </c>
      <c r="Z161" s="8">
        <v>914654.21787000005</v>
      </c>
      <c r="AA161" s="8">
        <v>0</v>
      </c>
      <c r="AB161" s="8">
        <v>0</v>
      </c>
      <c r="AC161" s="8">
        <v>0</v>
      </c>
      <c r="AD161" s="11">
        <v>2845458.8218700001</v>
      </c>
      <c r="AE161" s="14">
        <v>0.31898600352229323</v>
      </c>
    </row>
    <row r="162" spans="1:31" ht="11.85" customHeight="1" x14ac:dyDescent="0.2">
      <c r="A162" s="23">
        <v>161</v>
      </c>
      <c r="B162" s="16">
        <v>32104</v>
      </c>
      <c r="C162" s="16">
        <v>25598</v>
      </c>
      <c r="D162" s="15" t="s">
        <v>191</v>
      </c>
      <c r="E162" s="9">
        <v>27321200</v>
      </c>
      <c r="F162" s="9">
        <v>2195900</v>
      </c>
      <c r="G162" s="9">
        <v>0</v>
      </c>
      <c r="H162" s="9">
        <v>0</v>
      </c>
      <c r="I162" s="9">
        <v>23313431</v>
      </c>
      <c r="J162" s="10">
        <v>4329060</v>
      </c>
      <c r="K162" s="9">
        <v>0</v>
      </c>
      <c r="L162" s="9">
        <v>0</v>
      </c>
      <c r="M162" s="9">
        <v>12968358</v>
      </c>
      <c r="N162" s="9">
        <v>4349388</v>
      </c>
      <c r="O162" s="9">
        <v>0</v>
      </c>
      <c r="P162" s="9">
        <v>0</v>
      </c>
      <c r="Q162" s="9">
        <v>74477337</v>
      </c>
      <c r="R162" s="8">
        <v>17317089.579999998</v>
      </c>
      <c r="S162" s="8">
        <v>862000</v>
      </c>
      <c r="T162" s="8">
        <v>0</v>
      </c>
      <c r="U162" s="8">
        <v>0</v>
      </c>
      <c r="V162" s="8">
        <v>0</v>
      </c>
      <c r="W162" s="8">
        <v>2734494.4019999998</v>
      </c>
      <c r="X162" s="8">
        <v>0</v>
      </c>
      <c r="Y162" s="8">
        <v>0</v>
      </c>
      <c r="Z162" s="8">
        <v>3290877.4888300002</v>
      </c>
      <c r="AA162" s="8">
        <v>0</v>
      </c>
      <c r="AB162" s="8">
        <v>0</v>
      </c>
      <c r="AC162" s="8">
        <v>0</v>
      </c>
      <c r="AD162" s="11">
        <v>24204461.470830001</v>
      </c>
      <c r="AE162" s="14">
        <v>0.34514714626589182</v>
      </c>
    </row>
    <row r="163" spans="1:31" ht="11.85" customHeight="1" x14ac:dyDescent="0.2">
      <c r="A163" s="23">
        <v>162</v>
      </c>
      <c r="B163" s="13">
        <v>32105</v>
      </c>
      <c r="C163" s="13">
        <v>25586</v>
      </c>
      <c r="D163" s="12" t="s">
        <v>192</v>
      </c>
      <c r="E163" s="9">
        <v>8393448</v>
      </c>
      <c r="F163" s="9">
        <v>0</v>
      </c>
      <c r="G163" s="9">
        <v>0</v>
      </c>
      <c r="H163" s="9">
        <v>0</v>
      </c>
      <c r="I163" s="9">
        <v>8852664</v>
      </c>
      <c r="J163" s="10">
        <v>1594500</v>
      </c>
      <c r="K163" s="9">
        <v>0</v>
      </c>
      <c r="L163" s="9">
        <v>0</v>
      </c>
      <c r="M163" s="9">
        <v>3098496</v>
      </c>
      <c r="N163" s="9">
        <v>0</v>
      </c>
      <c r="O163" s="9">
        <v>0</v>
      </c>
      <c r="P163" s="9">
        <v>0</v>
      </c>
      <c r="Q163" s="9">
        <v>21939108</v>
      </c>
      <c r="R163" s="8">
        <v>0</v>
      </c>
      <c r="S163" s="8">
        <v>519000</v>
      </c>
      <c r="T163" s="8">
        <v>0</v>
      </c>
      <c r="U163" s="8">
        <v>0</v>
      </c>
      <c r="V163" s="8">
        <v>5666294.2999999998</v>
      </c>
      <c r="W163" s="8">
        <v>0</v>
      </c>
      <c r="X163" s="8">
        <v>0</v>
      </c>
      <c r="Y163" s="8">
        <v>0</v>
      </c>
      <c r="Z163" s="8">
        <v>735553.70701999997</v>
      </c>
      <c r="AA163" s="8">
        <v>0</v>
      </c>
      <c r="AB163" s="8">
        <v>0</v>
      </c>
      <c r="AC163" s="8">
        <v>0</v>
      </c>
      <c r="AD163" s="11">
        <v>6920848.0070200004</v>
      </c>
      <c r="AE163" s="14">
        <v>0.31545712829436828</v>
      </c>
    </row>
    <row r="164" spans="1:31" ht="11.85" customHeight="1" x14ac:dyDescent="0.2">
      <c r="A164" s="23">
        <v>163</v>
      </c>
      <c r="B164" s="16">
        <v>32127</v>
      </c>
      <c r="C164" s="16">
        <v>25551</v>
      </c>
      <c r="D164" s="15" t="s">
        <v>193</v>
      </c>
      <c r="E164" s="9">
        <v>0</v>
      </c>
      <c r="F164" s="9">
        <v>8265510</v>
      </c>
      <c r="G164" s="9">
        <v>0</v>
      </c>
      <c r="H164" s="9">
        <v>0</v>
      </c>
      <c r="I164" s="9">
        <v>18595764</v>
      </c>
      <c r="J164" s="10">
        <v>7187400</v>
      </c>
      <c r="K164" s="9">
        <v>0</v>
      </c>
      <c r="L164" s="9">
        <v>14779908</v>
      </c>
      <c r="M164" s="9">
        <v>10291050</v>
      </c>
      <c r="N164" s="9">
        <v>0</v>
      </c>
      <c r="O164" s="9">
        <v>0</v>
      </c>
      <c r="P164" s="9">
        <v>0</v>
      </c>
      <c r="Q164" s="9">
        <v>59119632</v>
      </c>
      <c r="R164" s="8">
        <v>594167.81000000006</v>
      </c>
      <c r="S164" s="8">
        <v>4686500</v>
      </c>
      <c r="T164" s="8">
        <v>0</v>
      </c>
      <c r="U164" s="8">
        <v>0</v>
      </c>
      <c r="V164" s="8">
        <v>14630602</v>
      </c>
      <c r="W164" s="8">
        <v>11182439.069499999</v>
      </c>
      <c r="X164" s="8">
        <v>0</v>
      </c>
      <c r="Y164" s="8">
        <v>4921284</v>
      </c>
      <c r="Z164" s="8">
        <v>1368589.0845000001</v>
      </c>
      <c r="AA164" s="8">
        <v>0</v>
      </c>
      <c r="AB164" s="8">
        <v>0</v>
      </c>
      <c r="AC164" s="8">
        <v>0</v>
      </c>
      <c r="AD164" s="11">
        <v>37383581.964000002</v>
      </c>
      <c r="AE164" s="14">
        <v>0.63233786644680068</v>
      </c>
    </row>
    <row r="165" spans="1:31" ht="11.85" customHeight="1" x14ac:dyDescent="0.2">
      <c r="A165" s="23">
        <v>164</v>
      </c>
      <c r="B165" s="13">
        <v>32129</v>
      </c>
      <c r="C165" s="13">
        <v>25588</v>
      </c>
      <c r="D165" s="12" t="s">
        <v>194</v>
      </c>
      <c r="E165" s="9">
        <v>6250595</v>
      </c>
      <c r="F165" s="9">
        <v>1037367</v>
      </c>
      <c r="G165" s="9">
        <v>1670945</v>
      </c>
      <c r="H165" s="9">
        <v>0</v>
      </c>
      <c r="I165" s="9">
        <v>8971049</v>
      </c>
      <c r="J165" s="10">
        <v>829893</v>
      </c>
      <c r="K165" s="9">
        <v>0</v>
      </c>
      <c r="L165" s="9">
        <v>518683</v>
      </c>
      <c r="M165" s="9">
        <v>1741266</v>
      </c>
      <c r="N165" s="9">
        <v>3412260</v>
      </c>
      <c r="O165" s="9">
        <v>0</v>
      </c>
      <c r="P165" s="9">
        <v>0</v>
      </c>
      <c r="Q165" s="9">
        <v>24432058</v>
      </c>
      <c r="R165" s="8">
        <v>5249060.08</v>
      </c>
      <c r="S165" s="8">
        <v>187500</v>
      </c>
      <c r="T165" s="8">
        <v>0</v>
      </c>
      <c r="U165" s="8">
        <v>0</v>
      </c>
      <c r="V165" s="8">
        <v>20294870.239999998</v>
      </c>
      <c r="W165" s="8">
        <v>2713707.4452999998</v>
      </c>
      <c r="X165" s="8">
        <v>0</v>
      </c>
      <c r="Y165" s="8">
        <v>318182</v>
      </c>
      <c r="Z165" s="8">
        <v>1547789.0105099999</v>
      </c>
      <c r="AA165" s="8">
        <v>0</v>
      </c>
      <c r="AB165" s="8">
        <v>0</v>
      </c>
      <c r="AC165" s="8">
        <v>0</v>
      </c>
      <c r="AD165" s="11">
        <v>30311108.77581</v>
      </c>
      <c r="AE165" s="19">
        <v>1.442026644395441</v>
      </c>
    </row>
    <row r="166" spans="1:31" ht="11.85" customHeight="1" x14ac:dyDescent="0.2">
      <c r="A166" s="23">
        <v>165</v>
      </c>
      <c r="B166" s="16">
        <v>32130</v>
      </c>
      <c r="C166" s="16">
        <v>25604</v>
      </c>
      <c r="D166" s="15" t="s">
        <v>195</v>
      </c>
      <c r="E166" s="9">
        <v>0</v>
      </c>
      <c r="F166" s="9">
        <v>7634966</v>
      </c>
      <c r="G166" s="9">
        <v>17444777</v>
      </c>
      <c r="H166" s="9">
        <v>0</v>
      </c>
      <c r="I166" s="9">
        <v>86027219</v>
      </c>
      <c r="J166" s="10">
        <v>18197013</v>
      </c>
      <c r="K166" s="9">
        <v>12927278</v>
      </c>
      <c r="L166" s="9">
        <v>6861302</v>
      </c>
      <c r="M166" s="9">
        <v>32581078</v>
      </c>
      <c r="N166" s="9">
        <v>14206917</v>
      </c>
      <c r="O166" s="9">
        <v>0</v>
      </c>
      <c r="P166" s="9">
        <v>0</v>
      </c>
      <c r="Q166" s="9">
        <v>195880550</v>
      </c>
      <c r="R166" s="8">
        <v>0</v>
      </c>
      <c r="S166" s="8">
        <v>1311000</v>
      </c>
      <c r="T166" s="8">
        <v>0</v>
      </c>
      <c r="U166" s="8">
        <v>0</v>
      </c>
      <c r="V166" s="8">
        <v>11760107.4</v>
      </c>
      <c r="W166" s="8">
        <v>4122754.7149999999</v>
      </c>
      <c r="X166" s="8">
        <v>14718371.26</v>
      </c>
      <c r="Y166" s="8">
        <v>3544091</v>
      </c>
      <c r="Z166" s="8">
        <v>25118885.94162</v>
      </c>
      <c r="AA166" s="8">
        <v>0</v>
      </c>
      <c r="AB166" s="8">
        <v>0</v>
      </c>
      <c r="AC166" s="8">
        <v>0</v>
      </c>
      <c r="AD166" s="11">
        <v>60575210.31662</v>
      </c>
      <c r="AE166" s="14">
        <v>0.33342873875715351</v>
      </c>
    </row>
    <row r="167" spans="1:31" ht="11.85" customHeight="1" x14ac:dyDescent="0.2">
      <c r="A167" s="23">
        <v>166</v>
      </c>
      <c r="B167" s="13">
        <v>32134</v>
      </c>
      <c r="C167" s="13">
        <v>25605</v>
      </c>
      <c r="D167" s="12" t="s">
        <v>196</v>
      </c>
      <c r="E167" s="9">
        <v>88177635</v>
      </c>
      <c r="F167" s="9">
        <v>0</v>
      </c>
      <c r="G167" s="9">
        <v>0</v>
      </c>
      <c r="H167" s="9">
        <v>0</v>
      </c>
      <c r="I167" s="9">
        <v>0</v>
      </c>
      <c r="J167" s="10">
        <v>7544628</v>
      </c>
      <c r="K167" s="9">
        <v>0</v>
      </c>
      <c r="L167" s="9">
        <v>0</v>
      </c>
      <c r="M167" s="9">
        <v>0</v>
      </c>
      <c r="N167" s="9">
        <v>1500000</v>
      </c>
      <c r="O167" s="9">
        <v>0</v>
      </c>
      <c r="P167" s="9">
        <v>0</v>
      </c>
      <c r="Q167" s="9">
        <v>97222263</v>
      </c>
      <c r="R167" s="8">
        <v>61532429.869999997</v>
      </c>
      <c r="S167" s="8">
        <v>1135000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3017192.7477699998</v>
      </c>
      <c r="AA167" s="8">
        <v>0</v>
      </c>
      <c r="AB167" s="8">
        <v>0</v>
      </c>
      <c r="AC167" s="8">
        <v>0</v>
      </c>
      <c r="AD167" s="11">
        <v>65684622.617770001</v>
      </c>
      <c r="AE167" s="14">
        <v>0.68620006004005563</v>
      </c>
    </row>
    <row r="168" spans="1:31" ht="11.85" customHeight="1" x14ac:dyDescent="0.2">
      <c r="A168" s="23">
        <v>167</v>
      </c>
      <c r="B168" s="16">
        <v>32138</v>
      </c>
      <c r="C168" s="16">
        <v>25606</v>
      </c>
      <c r="D168" s="15" t="s">
        <v>197</v>
      </c>
      <c r="E168" s="9">
        <v>0</v>
      </c>
      <c r="F168" s="9">
        <v>2738618</v>
      </c>
      <c r="G168" s="9">
        <v>2295800</v>
      </c>
      <c r="H168" s="9">
        <v>0</v>
      </c>
      <c r="I168" s="9">
        <v>26707408</v>
      </c>
      <c r="J168" s="10">
        <v>3343368</v>
      </c>
      <c r="K168" s="9">
        <v>0</v>
      </c>
      <c r="L168" s="9">
        <v>1169127</v>
      </c>
      <c r="M168" s="9">
        <v>7077099</v>
      </c>
      <c r="N168" s="9">
        <v>0</v>
      </c>
      <c r="O168" s="9">
        <v>0</v>
      </c>
      <c r="P168" s="9">
        <v>0</v>
      </c>
      <c r="Q168" s="9">
        <v>43331420</v>
      </c>
      <c r="R168" s="8">
        <v>0</v>
      </c>
      <c r="S168" s="8">
        <v>679500</v>
      </c>
      <c r="T168" s="8">
        <v>0</v>
      </c>
      <c r="U168" s="8">
        <v>0</v>
      </c>
      <c r="V168" s="8">
        <v>0</v>
      </c>
      <c r="W168" s="8">
        <v>87393.105599999995</v>
      </c>
      <c r="X168" s="8">
        <v>0</v>
      </c>
      <c r="Y168" s="8">
        <v>0</v>
      </c>
      <c r="Z168" s="8">
        <v>5131275.3884699997</v>
      </c>
      <c r="AA168" s="8">
        <v>0</v>
      </c>
      <c r="AB168" s="8">
        <v>0</v>
      </c>
      <c r="AC168" s="8">
        <v>0</v>
      </c>
      <c r="AD168" s="11">
        <v>5898168.49407</v>
      </c>
      <c r="AE168" s="14">
        <v>0.13611759074754531</v>
      </c>
    </row>
    <row r="169" spans="1:31" ht="11.85" customHeight="1" x14ac:dyDescent="0.2">
      <c r="A169" s="23">
        <v>168</v>
      </c>
      <c r="B169" s="13">
        <v>32133</v>
      </c>
      <c r="C169" s="13">
        <v>25625</v>
      </c>
      <c r="D169" s="12" t="s">
        <v>198</v>
      </c>
      <c r="E169" s="9">
        <v>0</v>
      </c>
      <c r="F169" s="9">
        <v>680000</v>
      </c>
      <c r="G169" s="9">
        <v>0</v>
      </c>
      <c r="H169" s="9">
        <v>0</v>
      </c>
      <c r="I169" s="9">
        <v>3326050</v>
      </c>
      <c r="J169" s="10">
        <v>397664</v>
      </c>
      <c r="K169" s="9">
        <v>0</v>
      </c>
      <c r="L169" s="9">
        <v>0</v>
      </c>
      <c r="M169" s="9">
        <v>2387656</v>
      </c>
      <c r="N169" s="9">
        <v>0</v>
      </c>
      <c r="O169" s="9">
        <v>0</v>
      </c>
      <c r="P169" s="9">
        <v>0</v>
      </c>
      <c r="Q169" s="9">
        <v>6791370</v>
      </c>
      <c r="R169" s="8">
        <v>0</v>
      </c>
      <c r="S169" s="8">
        <v>129000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736954.15778000001</v>
      </c>
      <c r="AA169" s="8">
        <v>0</v>
      </c>
      <c r="AB169" s="8">
        <v>0</v>
      </c>
      <c r="AC169" s="8">
        <v>0</v>
      </c>
      <c r="AD169" s="11">
        <v>865954.15778000001</v>
      </c>
      <c r="AE169" s="14">
        <v>0.12750802235484152</v>
      </c>
    </row>
    <row r="170" spans="1:31" ht="11.85" customHeight="1" x14ac:dyDescent="0.2">
      <c r="A170" s="23">
        <v>169</v>
      </c>
      <c r="B170" s="13">
        <v>32162</v>
      </c>
      <c r="C170" s="13">
        <v>25553</v>
      </c>
      <c r="D170" s="12" t="s">
        <v>199</v>
      </c>
      <c r="E170" s="9">
        <v>24027320</v>
      </c>
      <c r="F170" s="9">
        <v>1250880</v>
      </c>
      <c r="G170" s="9">
        <v>2351915</v>
      </c>
      <c r="H170" s="9">
        <v>0</v>
      </c>
      <c r="I170" s="9">
        <v>15662060</v>
      </c>
      <c r="J170" s="10">
        <v>2918720</v>
      </c>
      <c r="K170" s="9">
        <v>0</v>
      </c>
      <c r="L170" s="9">
        <v>625440</v>
      </c>
      <c r="M170" s="9">
        <v>1442160</v>
      </c>
      <c r="N170" s="9">
        <v>1947985</v>
      </c>
      <c r="O170" s="9">
        <v>0</v>
      </c>
      <c r="P170" s="9">
        <v>0</v>
      </c>
      <c r="Q170" s="9">
        <v>50226480</v>
      </c>
      <c r="R170" s="8">
        <v>0</v>
      </c>
      <c r="S170" s="8">
        <v>36000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1731842.7969599999</v>
      </c>
      <c r="AA170" s="8">
        <v>0</v>
      </c>
      <c r="AB170" s="8">
        <v>0</v>
      </c>
      <c r="AC170" s="8">
        <v>0</v>
      </c>
      <c r="AD170" s="11">
        <v>1767842.7969599999</v>
      </c>
      <c r="AE170" s="14">
        <v>3.6617603696221267E-2</v>
      </c>
    </row>
    <row r="171" spans="1:31" ht="11.85" customHeight="1" x14ac:dyDescent="0.2">
      <c r="A171" s="23">
        <v>170</v>
      </c>
      <c r="B171" s="13">
        <v>32166</v>
      </c>
      <c r="C171" s="13">
        <v>25687</v>
      </c>
      <c r="D171" s="12" t="s">
        <v>200</v>
      </c>
      <c r="E171" s="9">
        <v>0</v>
      </c>
      <c r="F171" s="9">
        <v>0</v>
      </c>
      <c r="G171" s="9">
        <v>0</v>
      </c>
      <c r="H171" s="9">
        <v>0</v>
      </c>
      <c r="I171" s="9">
        <v>12723173</v>
      </c>
      <c r="J171" s="10">
        <v>3938350</v>
      </c>
      <c r="K171" s="9">
        <v>0</v>
      </c>
      <c r="L171" s="9">
        <v>6089295</v>
      </c>
      <c r="M171" s="9">
        <v>10351802</v>
      </c>
      <c r="N171" s="9">
        <v>0</v>
      </c>
      <c r="O171" s="9">
        <v>0</v>
      </c>
      <c r="P171" s="9">
        <v>0</v>
      </c>
      <c r="Q171" s="9">
        <v>33102620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11">
        <v>0</v>
      </c>
      <c r="AE171" s="17">
        <v>0</v>
      </c>
    </row>
    <row r="172" spans="1:31" ht="11.85" customHeight="1" x14ac:dyDescent="0.2">
      <c r="A172" s="23">
        <v>171</v>
      </c>
      <c r="B172" s="13">
        <v>32191</v>
      </c>
      <c r="C172" s="13">
        <v>25555</v>
      </c>
      <c r="D172" s="12" t="s">
        <v>201</v>
      </c>
      <c r="E172" s="9">
        <v>0</v>
      </c>
      <c r="F172" s="9">
        <v>323550</v>
      </c>
      <c r="G172" s="9">
        <v>0</v>
      </c>
      <c r="H172" s="9">
        <v>0</v>
      </c>
      <c r="I172" s="9">
        <v>1941300</v>
      </c>
      <c r="J172" s="10">
        <v>0</v>
      </c>
      <c r="K172" s="9">
        <v>0</v>
      </c>
      <c r="L172" s="9">
        <v>0</v>
      </c>
      <c r="M172" s="9">
        <v>305755</v>
      </c>
      <c r="N172" s="9">
        <v>0</v>
      </c>
      <c r="O172" s="9">
        <v>0</v>
      </c>
      <c r="P172" s="9">
        <v>0</v>
      </c>
      <c r="Q172" s="9">
        <v>2570605</v>
      </c>
      <c r="R172" s="8">
        <v>0</v>
      </c>
      <c r="S172" s="8">
        <v>259000</v>
      </c>
      <c r="T172" s="8">
        <v>0</v>
      </c>
      <c r="U172" s="8">
        <v>0</v>
      </c>
      <c r="V172" s="8">
        <v>350414.8</v>
      </c>
      <c r="W172" s="8">
        <v>0</v>
      </c>
      <c r="X172" s="8">
        <v>0</v>
      </c>
      <c r="Y172" s="8">
        <v>0</v>
      </c>
      <c r="Z172" s="8">
        <v>56464.682430000001</v>
      </c>
      <c r="AA172" s="8">
        <v>0</v>
      </c>
      <c r="AB172" s="8">
        <v>0</v>
      </c>
      <c r="AC172" s="8">
        <v>0</v>
      </c>
      <c r="AD172" s="11">
        <v>665879.48242999997</v>
      </c>
      <c r="AE172" s="14">
        <v>0.25903609556116164</v>
      </c>
    </row>
    <row r="173" spans="1:31" ht="11.85" customHeight="1" x14ac:dyDescent="0.2">
      <c r="A173" s="23">
        <v>172</v>
      </c>
      <c r="B173" s="16">
        <v>32193</v>
      </c>
      <c r="C173" s="16">
        <v>25556</v>
      </c>
      <c r="D173" s="15" t="s">
        <v>202</v>
      </c>
      <c r="E173" s="9">
        <v>0</v>
      </c>
      <c r="F173" s="9">
        <v>1910239</v>
      </c>
      <c r="G173" s="9">
        <v>0</v>
      </c>
      <c r="H173" s="9">
        <v>0</v>
      </c>
      <c r="I173" s="9">
        <v>7765200</v>
      </c>
      <c r="J173" s="10">
        <v>0</v>
      </c>
      <c r="K173" s="9">
        <v>0</v>
      </c>
      <c r="L173" s="9">
        <v>6471000</v>
      </c>
      <c r="M173" s="9">
        <v>947354</v>
      </c>
      <c r="N173" s="9">
        <v>0</v>
      </c>
      <c r="O173" s="9">
        <v>0</v>
      </c>
      <c r="P173" s="9">
        <v>0</v>
      </c>
      <c r="Q173" s="9">
        <v>17093793</v>
      </c>
      <c r="R173" s="8">
        <v>0</v>
      </c>
      <c r="S173" s="8">
        <v>1683000</v>
      </c>
      <c r="T173" s="8">
        <v>0</v>
      </c>
      <c r="U173" s="8">
        <v>0</v>
      </c>
      <c r="V173" s="8">
        <v>2581997</v>
      </c>
      <c r="W173" s="8">
        <v>0</v>
      </c>
      <c r="X173" s="8">
        <v>0</v>
      </c>
      <c r="Y173" s="8">
        <v>5080227</v>
      </c>
      <c r="Z173" s="8">
        <v>422745.18578</v>
      </c>
      <c r="AA173" s="8">
        <v>0</v>
      </c>
      <c r="AB173" s="8">
        <v>0</v>
      </c>
      <c r="AC173" s="8">
        <v>0</v>
      </c>
      <c r="AD173" s="11">
        <v>9767969.1857799999</v>
      </c>
      <c r="AE173" s="14">
        <v>0.57143368857807042</v>
      </c>
    </row>
    <row r="174" spans="1:31" ht="11.85" customHeight="1" x14ac:dyDescent="0.2">
      <c r="A174" s="23">
        <v>173</v>
      </c>
      <c r="B174" s="16">
        <v>32197</v>
      </c>
      <c r="C174" s="16">
        <v>25554</v>
      </c>
      <c r="D174" s="15" t="s">
        <v>203</v>
      </c>
      <c r="E174" s="9">
        <v>104409390</v>
      </c>
      <c r="F174" s="9">
        <v>0</v>
      </c>
      <c r="G174" s="9">
        <v>0</v>
      </c>
      <c r="H174" s="9">
        <v>0</v>
      </c>
      <c r="I174" s="9">
        <v>0</v>
      </c>
      <c r="J174" s="10">
        <v>0</v>
      </c>
      <c r="K174" s="9">
        <v>0</v>
      </c>
      <c r="L174" s="9">
        <v>0</v>
      </c>
      <c r="M174" s="9">
        <v>4176115</v>
      </c>
      <c r="N174" s="9">
        <v>0</v>
      </c>
      <c r="O174" s="9">
        <v>0</v>
      </c>
      <c r="P174" s="9">
        <v>0</v>
      </c>
      <c r="Q174" s="9">
        <v>108585505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2373383.44686</v>
      </c>
      <c r="AA174" s="8">
        <v>0</v>
      </c>
      <c r="AB174" s="8">
        <v>0</v>
      </c>
      <c r="AC174" s="8">
        <v>0</v>
      </c>
      <c r="AD174" s="11">
        <v>2373383.44686</v>
      </c>
      <c r="AE174" s="14">
        <v>2.1857276870057382E-2</v>
      </c>
    </row>
    <row r="175" spans="1:31" ht="11.85" customHeight="1" x14ac:dyDescent="0.2">
      <c r="A175" s="23">
        <v>174</v>
      </c>
      <c r="B175" s="13">
        <v>32195</v>
      </c>
      <c r="C175" s="13">
        <v>25557</v>
      </c>
      <c r="D175" s="12" t="s">
        <v>204</v>
      </c>
      <c r="E175" s="9">
        <v>0</v>
      </c>
      <c r="F175" s="9">
        <v>323550</v>
      </c>
      <c r="G175" s="9">
        <v>0</v>
      </c>
      <c r="H175" s="9">
        <v>0</v>
      </c>
      <c r="I175" s="9">
        <v>0</v>
      </c>
      <c r="J175" s="10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323550</v>
      </c>
      <c r="R175" s="8">
        <v>0</v>
      </c>
      <c r="S175" s="8">
        <v>177000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50000</v>
      </c>
      <c r="Z175" s="8">
        <v>54770.824840000001</v>
      </c>
      <c r="AA175" s="8">
        <v>0</v>
      </c>
      <c r="AB175" s="8">
        <v>0</v>
      </c>
      <c r="AC175" s="8">
        <v>0</v>
      </c>
      <c r="AD175" s="11">
        <v>281770.82484000002</v>
      </c>
      <c r="AE175" s="18">
        <v>0.87087258488641639</v>
      </c>
    </row>
    <row r="176" spans="1:31" ht="11.85" customHeight="1" x14ac:dyDescent="0.2">
      <c r="A176" s="23">
        <v>175</v>
      </c>
      <c r="B176" s="13">
        <v>32253</v>
      </c>
      <c r="C176" s="13">
        <v>25566</v>
      </c>
      <c r="D176" s="12" t="s">
        <v>205</v>
      </c>
      <c r="E176" s="9">
        <v>0</v>
      </c>
      <c r="F176" s="9">
        <v>1907303</v>
      </c>
      <c r="G176" s="9">
        <v>0</v>
      </c>
      <c r="H176" s="9">
        <v>0</v>
      </c>
      <c r="I176" s="9">
        <v>0</v>
      </c>
      <c r="J176" s="10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1907303</v>
      </c>
      <c r="R176" s="8">
        <v>0</v>
      </c>
      <c r="S176" s="8">
        <v>1868181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444420.59476000001</v>
      </c>
      <c r="AA176" s="8">
        <v>0</v>
      </c>
      <c r="AB176" s="8">
        <v>0</v>
      </c>
      <c r="AC176" s="8">
        <v>0</v>
      </c>
      <c r="AD176" s="11">
        <v>2312601.5947599998</v>
      </c>
      <c r="AE176" s="19">
        <v>1.2124982736146275</v>
      </c>
    </row>
    <row r="177" spans="1:31" ht="11.85" customHeight="1" x14ac:dyDescent="0.2">
      <c r="A177" s="23">
        <v>176</v>
      </c>
      <c r="B177" s="16">
        <v>32254</v>
      </c>
      <c r="C177" s="16">
        <v>25579</v>
      </c>
      <c r="D177" s="15" t="s">
        <v>206</v>
      </c>
      <c r="E177" s="9">
        <v>10649600</v>
      </c>
      <c r="F177" s="9">
        <v>9408000</v>
      </c>
      <c r="G177" s="9">
        <v>19616000</v>
      </c>
      <c r="H177" s="9">
        <v>0</v>
      </c>
      <c r="I177" s="9">
        <v>25145600</v>
      </c>
      <c r="J177" s="10">
        <v>5030400</v>
      </c>
      <c r="K177" s="9">
        <v>0</v>
      </c>
      <c r="L177" s="9">
        <v>13068800</v>
      </c>
      <c r="M177" s="9">
        <v>35808896</v>
      </c>
      <c r="N177" s="9">
        <v>2028800</v>
      </c>
      <c r="O177" s="9">
        <v>0</v>
      </c>
      <c r="P177" s="9">
        <v>0</v>
      </c>
      <c r="Q177" s="9">
        <v>120756096</v>
      </c>
      <c r="R177" s="8">
        <v>0</v>
      </c>
      <c r="S177" s="8">
        <v>3340500</v>
      </c>
      <c r="T177" s="8">
        <v>0</v>
      </c>
      <c r="U177" s="8">
        <v>0</v>
      </c>
      <c r="V177" s="8">
        <v>6465225.2999999998</v>
      </c>
      <c r="W177" s="8">
        <v>2477253.1727999998</v>
      </c>
      <c r="X177" s="8">
        <v>0</v>
      </c>
      <c r="Y177" s="8">
        <v>1548783</v>
      </c>
      <c r="Z177" s="8">
        <v>9283137.2412400004</v>
      </c>
      <c r="AA177" s="8">
        <v>0</v>
      </c>
      <c r="AB177" s="8">
        <v>0</v>
      </c>
      <c r="AC177" s="8">
        <v>0</v>
      </c>
      <c r="AD177" s="11">
        <v>23114898.71404</v>
      </c>
      <c r="AE177" s="14">
        <v>0.1946890015421559</v>
      </c>
    </row>
    <row r="178" spans="1:31" ht="11.85" customHeight="1" x14ac:dyDescent="0.2">
      <c r="A178" s="23">
        <v>177</v>
      </c>
      <c r="B178" s="13">
        <v>32257</v>
      </c>
      <c r="C178" s="13">
        <v>25580</v>
      </c>
      <c r="D178" s="12" t="s">
        <v>207</v>
      </c>
      <c r="E178" s="9">
        <v>0</v>
      </c>
      <c r="F178" s="9">
        <v>512000</v>
      </c>
      <c r="G178" s="9">
        <v>0</v>
      </c>
      <c r="H178" s="9">
        <v>0</v>
      </c>
      <c r="I178" s="9">
        <v>7392000</v>
      </c>
      <c r="J178" s="10">
        <v>1031488</v>
      </c>
      <c r="K178" s="9">
        <v>0</v>
      </c>
      <c r="L178" s="9">
        <v>0</v>
      </c>
      <c r="M178" s="9">
        <v>7848128</v>
      </c>
      <c r="N178" s="9">
        <v>0</v>
      </c>
      <c r="O178" s="9">
        <v>0</v>
      </c>
      <c r="P178" s="9">
        <v>0</v>
      </c>
      <c r="Q178" s="9">
        <v>16783616</v>
      </c>
      <c r="R178" s="8">
        <v>0</v>
      </c>
      <c r="S178" s="8">
        <v>90000</v>
      </c>
      <c r="T178" s="8">
        <v>0</v>
      </c>
      <c r="U178" s="8">
        <v>0</v>
      </c>
      <c r="V178" s="8">
        <v>3700559</v>
      </c>
      <c r="W178" s="8">
        <v>417075.34289999999</v>
      </c>
      <c r="X178" s="8">
        <v>0</v>
      </c>
      <c r="Y178" s="8">
        <v>0</v>
      </c>
      <c r="Z178" s="8">
        <v>2316498.1200899999</v>
      </c>
      <c r="AA178" s="8">
        <v>0</v>
      </c>
      <c r="AB178" s="8">
        <v>0</v>
      </c>
      <c r="AC178" s="8">
        <v>0</v>
      </c>
      <c r="AD178" s="11">
        <v>6524132.4629899999</v>
      </c>
      <c r="AE178" s="14">
        <v>0.38872031289264486</v>
      </c>
    </row>
    <row r="179" spans="1:31" ht="11.85" customHeight="1" x14ac:dyDescent="0.2">
      <c r="A179" s="23">
        <v>178</v>
      </c>
      <c r="B179" s="16">
        <v>32250</v>
      </c>
      <c r="C179" s="16">
        <v>25569</v>
      </c>
      <c r="D179" s="15" t="s">
        <v>208</v>
      </c>
      <c r="E179" s="9">
        <v>0</v>
      </c>
      <c r="F179" s="9">
        <v>2023806</v>
      </c>
      <c r="G179" s="9">
        <v>5047612</v>
      </c>
      <c r="H179" s="9">
        <v>0</v>
      </c>
      <c r="I179" s="9">
        <v>15773790</v>
      </c>
      <c r="J179" s="10">
        <v>2523806</v>
      </c>
      <c r="K179" s="9">
        <v>0</v>
      </c>
      <c r="L179" s="9">
        <v>0</v>
      </c>
      <c r="M179" s="9">
        <v>17365795</v>
      </c>
      <c r="N179" s="9">
        <v>0</v>
      </c>
      <c r="O179" s="9">
        <v>0</v>
      </c>
      <c r="P179" s="9">
        <v>0</v>
      </c>
      <c r="Q179" s="9">
        <v>42734809</v>
      </c>
      <c r="R179" s="8">
        <v>0</v>
      </c>
      <c r="S179" s="8">
        <v>337500</v>
      </c>
      <c r="T179" s="8">
        <v>0</v>
      </c>
      <c r="U179" s="8">
        <v>9488636</v>
      </c>
      <c r="V179" s="8">
        <v>37280359.420000002</v>
      </c>
      <c r="W179" s="8">
        <v>0</v>
      </c>
      <c r="X179" s="8">
        <v>0</v>
      </c>
      <c r="Y179" s="8">
        <v>10427801.25</v>
      </c>
      <c r="Z179" s="8">
        <v>4700745.1591299996</v>
      </c>
      <c r="AA179" s="8">
        <v>0</v>
      </c>
      <c r="AB179" s="8">
        <v>0</v>
      </c>
      <c r="AC179" s="8">
        <v>0</v>
      </c>
      <c r="AD179" s="11">
        <v>62235041.829130001</v>
      </c>
      <c r="AE179" s="19">
        <v>1.4563079439323108</v>
      </c>
    </row>
    <row r="180" spans="1:31" ht="11.85" customHeight="1" x14ac:dyDescent="0.2">
      <c r="A180" s="23">
        <v>179</v>
      </c>
      <c r="B180" s="13">
        <v>32245</v>
      </c>
      <c r="C180" s="13">
        <v>25614</v>
      </c>
      <c r="D180" s="12" t="s">
        <v>209</v>
      </c>
      <c r="E180" s="9">
        <v>0</v>
      </c>
      <c r="F180" s="9">
        <v>1200000</v>
      </c>
      <c r="G180" s="9">
        <v>0</v>
      </c>
      <c r="H180" s="9">
        <v>0</v>
      </c>
      <c r="I180" s="9">
        <v>11130240</v>
      </c>
      <c r="J180" s="10">
        <v>1113024</v>
      </c>
      <c r="K180" s="9">
        <v>0</v>
      </c>
      <c r="L180" s="9">
        <v>0</v>
      </c>
      <c r="M180" s="9">
        <v>9270000</v>
      </c>
      <c r="N180" s="9">
        <v>0</v>
      </c>
      <c r="O180" s="9">
        <v>0</v>
      </c>
      <c r="P180" s="9">
        <v>0</v>
      </c>
      <c r="Q180" s="9">
        <v>22713264</v>
      </c>
      <c r="R180" s="8">
        <v>0</v>
      </c>
      <c r="S180" s="8">
        <v>612000</v>
      </c>
      <c r="T180" s="8">
        <v>0</v>
      </c>
      <c r="U180" s="8">
        <v>0</v>
      </c>
      <c r="V180" s="8">
        <v>3334456</v>
      </c>
      <c r="W180" s="8">
        <v>559584.5943</v>
      </c>
      <c r="X180" s="8">
        <v>0</v>
      </c>
      <c r="Y180" s="8">
        <v>0</v>
      </c>
      <c r="Z180" s="8">
        <v>2269754.8095</v>
      </c>
      <c r="AA180" s="8">
        <v>0</v>
      </c>
      <c r="AB180" s="8">
        <v>0</v>
      </c>
      <c r="AC180" s="8">
        <v>0</v>
      </c>
      <c r="AD180" s="11">
        <v>6775795.4038000004</v>
      </c>
      <c r="AE180" s="14">
        <v>0.29831887674972646</v>
      </c>
    </row>
    <row r="181" spans="1:31" ht="11.85" customHeight="1" x14ac:dyDescent="0.2">
      <c r="A181" s="23">
        <v>180</v>
      </c>
      <c r="B181" s="13">
        <v>32252</v>
      </c>
      <c r="C181" s="13">
        <v>25587</v>
      </c>
      <c r="D181" s="12" t="s">
        <v>210</v>
      </c>
      <c r="E181" s="9">
        <v>0</v>
      </c>
      <c r="F181" s="9">
        <v>804075</v>
      </c>
      <c r="G181" s="9">
        <v>0</v>
      </c>
      <c r="H181" s="9">
        <v>0</v>
      </c>
      <c r="I181" s="9">
        <v>57146880</v>
      </c>
      <c r="J181" s="10">
        <v>2966918</v>
      </c>
      <c r="K181" s="9">
        <v>0</v>
      </c>
      <c r="L181" s="9">
        <v>0</v>
      </c>
      <c r="M181" s="9">
        <v>18276861</v>
      </c>
      <c r="N181" s="9">
        <v>1815179</v>
      </c>
      <c r="O181" s="9">
        <v>0</v>
      </c>
      <c r="P181" s="9">
        <v>0</v>
      </c>
      <c r="Q181" s="9">
        <v>81009913</v>
      </c>
      <c r="R181" s="8">
        <v>0</v>
      </c>
      <c r="S181" s="8">
        <v>0</v>
      </c>
      <c r="T181" s="8">
        <v>0</v>
      </c>
      <c r="U181" s="8">
        <v>0</v>
      </c>
      <c r="V181" s="8">
        <v>119053829.7</v>
      </c>
      <c r="W181" s="8">
        <v>1952952.26</v>
      </c>
      <c r="X181" s="8">
        <v>0</v>
      </c>
      <c r="Y181" s="8">
        <v>866667</v>
      </c>
      <c r="Z181" s="8">
        <v>5796392.2642099997</v>
      </c>
      <c r="AA181" s="8">
        <v>0</v>
      </c>
      <c r="AB181" s="8">
        <v>0</v>
      </c>
      <c r="AC181" s="8">
        <v>0</v>
      </c>
      <c r="AD181" s="11">
        <v>127669841.22420999</v>
      </c>
      <c r="AE181" s="19">
        <v>1.6121001331251392</v>
      </c>
    </row>
    <row r="182" spans="1:31" ht="11.85" customHeight="1" x14ac:dyDescent="0.2">
      <c r="A182" s="23">
        <v>181</v>
      </c>
      <c r="B182" s="13">
        <v>32258</v>
      </c>
      <c r="C182" s="13">
        <v>25590</v>
      </c>
      <c r="D182" s="12" t="s">
        <v>211</v>
      </c>
      <c r="E182" s="9">
        <v>0</v>
      </c>
      <c r="F182" s="9">
        <v>4206001</v>
      </c>
      <c r="G182" s="9">
        <v>10618003</v>
      </c>
      <c r="H182" s="9">
        <v>0</v>
      </c>
      <c r="I182" s="9">
        <v>31545009</v>
      </c>
      <c r="J182" s="10">
        <v>4206001</v>
      </c>
      <c r="K182" s="9">
        <v>0</v>
      </c>
      <c r="L182" s="9">
        <v>0</v>
      </c>
      <c r="M182" s="9">
        <v>34043471</v>
      </c>
      <c r="N182" s="9">
        <v>0</v>
      </c>
      <c r="O182" s="9">
        <v>0</v>
      </c>
      <c r="P182" s="9">
        <v>0</v>
      </c>
      <c r="Q182" s="9">
        <v>84618485</v>
      </c>
      <c r="R182" s="8">
        <v>0</v>
      </c>
      <c r="S182" s="8">
        <v>292500</v>
      </c>
      <c r="T182" s="8">
        <v>0</v>
      </c>
      <c r="U182" s="8">
        <v>5261364</v>
      </c>
      <c r="V182" s="8">
        <v>0</v>
      </c>
      <c r="W182" s="8">
        <v>0</v>
      </c>
      <c r="X182" s="8">
        <v>0</v>
      </c>
      <c r="Y182" s="8">
        <v>5261364</v>
      </c>
      <c r="Z182" s="8">
        <v>10720445.52193</v>
      </c>
      <c r="AA182" s="8">
        <v>0</v>
      </c>
      <c r="AB182" s="8">
        <v>0</v>
      </c>
      <c r="AC182" s="8">
        <v>0</v>
      </c>
      <c r="AD182" s="11">
        <v>21535673.521930002</v>
      </c>
      <c r="AE182" s="14">
        <v>0.25450318003128986</v>
      </c>
    </row>
    <row r="183" spans="1:31" ht="11.85" customHeight="1" x14ac:dyDescent="0.2">
      <c r="A183" s="23">
        <v>182</v>
      </c>
      <c r="B183" s="16">
        <v>32278</v>
      </c>
      <c r="C183" s="16">
        <v>25576</v>
      </c>
      <c r="D183" s="15" t="s">
        <v>212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10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9121.3771099999994</v>
      </c>
      <c r="AA183" s="8">
        <v>0</v>
      </c>
      <c r="AB183" s="8">
        <v>0</v>
      </c>
      <c r="AC183" s="8">
        <v>0</v>
      </c>
      <c r="AD183" s="11">
        <v>9121.3771099999994</v>
      </c>
      <c r="AE183" s="17"/>
    </row>
    <row r="184" spans="1:31" ht="11.85" customHeight="1" x14ac:dyDescent="0.2">
      <c r="A184" s="23">
        <v>183</v>
      </c>
      <c r="B184" s="13">
        <v>32285</v>
      </c>
      <c r="C184" s="13">
        <v>25659</v>
      </c>
      <c r="D184" s="12" t="s">
        <v>213</v>
      </c>
      <c r="E184" s="9">
        <v>4410056122</v>
      </c>
      <c r="F184" s="9">
        <v>135061442</v>
      </c>
      <c r="G184" s="9">
        <v>180086030</v>
      </c>
      <c r="H184" s="9">
        <v>1180139550</v>
      </c>
      <c r="I184" s="9">
        <v>767290940</v>
      </c>
      <c r="J184" s="10">
        <v>180086030</v>
      </c>
      <c r="K184" s="9">
        <v>0</v>
      </c>
      <c r="L184" s="9">
        <v>90418836</v>
      </c>
      <c r="M184" s="9">
        <v>838974175</v>
      </c>
      <c r="N184" s="9">
        <v>264645755</v>
      </c>
      <c r="O184" s="9">
        <v>0</v>
      </c>
      <c r="P184" s="9">
        <v>0</v>
      </c>
      <c r="Q184" s="9">
        <v>8046758880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301366131.60372001</v>
      </c>
      <c r="AA184" s="8">
        <v>0</v>
      </c>
      <c r="AB184" s="8">
        <v>0</v>
      </c>
      <c r="AC184" s="8">
        <v>0</v>
      </c>
      <c r="AD184" s="11">
        <v>301366131.60372001</v>
      </c>
      <c r="AE184" s="14">
        <v>3.8725488406944744E-2</v>
      </c>
    </row>
    <row r="185" spans="1:31" ht="11.85" customHeight="1" x14ac:dyDescent="0.2">
      <c r="A185" s="23">
        <v>184</v>
      </c>
      <c r="B185" s="16">
        <v>32288</v>
      </c>
      <c r="C185" s="16">
        <v>25592</v>
      </c>
      <c r="D185" s="15" t="s">
        <v>214</v>
      </c>
      <c r="E185" s="9">
        <v>0</v>
      </c>
      <c r="F185" s="9">
        <v>200000</v>
      </c>
      <c r="G185" s="9">
        <v>0</v>
      </c>
      <c r="H185" s="9">
        <v>0</v>
      </c>
      <c r="I185" s="9">
        <v>550000</v>
      </c>
      <c r="J185" s="10">
        <v>0</v>
      </c>
      <c r="K185" s="9">
        <v>0</v>
      </c>
      <c r="L185" s="9">
        <v>0</v>
      </c>
      <c r="M185" s="9">
        <v>400000</v>
      </c>
      <c r="N185" s="9">
        <v>0</v>
      </c>
      <c r="O185" s="9">
        <v>0</v>
      </c>
      <c r="P185" s="9">
        <v>0</v>
      </c>
      <c r="Q185" s="9">
        <v>1150000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92616.143429999996</v>
      </c>
      <c r="AA185" s="8">
        <v>0</v>
      </c>
      <c r="AB185" s="8">
        <v>0</v>
      </c>
      <c r="AC185" s="8">
        <v>0</v>
      </c>
      <c r="AD185" s="11">
        <v>92616.143429999996</v>
      </c>
      <c r="AE185" s="14">
        <v>8.0535776895652181E-2</v>
      </c>
    </row>
    <row r="186" spans="1:31" ht="11.85" customHeight="1" x14ac:dyDescent="0.2">
      <c r="A186" s="23">
        <v>185</v>
      </c>
      <c r="B186" s="13">
        <v>32289</v>
      </c>
      <c r="C186" s="13">
        <v>25593</v>
      </c>
      <c r="D186" s="12" t="s">
        <v>215</v>
      </c>
      <c r="E186" s="9">
        <v>0</v>
      </c>
      <c r="F186" s="9">
        <v>200000</v>
      </c>
      <c r="G186" s="9">
        <v>0</v>
      </c>
      <c r="H186" s="9">
        <v>0</v>
      </c>
      <c r="I186" s="9">
        <v>500000</v>
      </c>
      <c r="J186" s="10">
        <v>0</v>
      </c>
      <c r="K186" s="9">
        <v>0</v>
      </c>
      <c r="L186" s="9">
        <v>0</v>
      </c>
      <c r="M186" s="9">
        <v>645000</v>
      </c>
      <c r="N186" s="9">
        <v>0</v>
      </c>
      <c r="O186" s="9">
        <v>0</v>
      </c>
      <c r="P186" s="9">
        <v>0</v>
      </c>
      <c r="Q186" s="9">
        <v>1345000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163885.40508999999</v>
      </c>
      <c r="AA186" s="8">
        <v>0</v>
      </c>
      <c r="AB186" s="8">
        <v>0</v>
      </c>
      <c r="AC186" s="8">
        <v>0</v>
      </c>
      <c r="AD186" s="11">
        <v>163885.40508999999</v>
      </c>
      <c r="AE186" s="14">
        <v>0.12184788482527879</v>
      </c>
    </row>
    <row r="187" spans="1:31" ht="11.85" customHeight="1" x14ac:dyDescent="0.2">
      <c r="A187" s="23">
        <v>186</v>
      </c>
      <c r="B187" s="16">
        <v>32292</v>
      </c>
      <c r="C187" s="16">
        <v>25601</v>
      </c>
      <c r="D187" s="15" t="s">
        <v>216</v>
      </c>
      <c r="E187" s="9">
        <v>0</v>
      </c>
      <c r="F187" s="9">
        <v>878360</v>
      </c>
      <c r="G187" s="9">
        <v>1380280</v>
      </c>
      <c r="H187" s="9">
        <v>0</v>
      </c>
      <c r="I187" s="9">
        <v>5050570</v>
      </c>
      <c r="J187" s="10">
        <v>577208</v>
      </c>
      <c r="K187" s="9">
        <v>0</v>
      </c>
      <c r="L187" s="9">
        <v>865812</v>
      </c>
      <c r="M187" s="9">
        <v>3914474</v>
      </c>
      <c r="N187" s="9">
        <v>0</v>
      </c>
      <c r="O187" s="9">
        <v>0</v>
      </c>
      <c r="P187" s="9">
        <v>0</v>
      </c>
      <c r="Q187" s="9">
        <v>12666704</v>
      </c>
      <c r="R187" s="8">
        <v>0</v>
      </c>
      <c r="S187" s="8">
        <v>129500</v>
      </c>
      <c r="T187" s="8">
        <v>1454545</v>
      </c>
      <c r="U187" s="8">
        <v>0</v>
      </c>
      <c r="V187" s="8">
        <v>2004560</v>
      </c>
      <c r="W187" s="8">
        <v>40021.537300000004</v>
      </c>
      <c r="X187" s="8">
        <v>0</v>
      </c>
      <c r="Y187" s="8">
        <v>600000</v>
      </c>
      <c r="Z187" s="8">
        <v>1102800.3953799999</v>
      </c>
      <c r="AA187" s="8">
        <v>0</v>
      </c>
      <c r="AB187" s="8">
        <v>0</v>
      </c>
      <c r="AC187" s="8">
        <v>0</v>
      </c>
      <c r="AD187" s="11">
        <v>5331426.9326799996</v>
      </c>
      <c r="AE187" s="14">
        <v>0.42090088571423151</v>
      </c>
    </row>
    <row r="188" spans="1:31" ht="11.85" customHeight="1" x14ac:dyDescent="0.2">
      <c r="A188" s="23">
        <v>187</v>
      </c>
      <c r="B188" s="16">
        <v>32296</v>
      </c>
      <c r="C188" s="16">
        <v>25618</v>
      </c>
      <c r="D188" s="15" t="s">
        <v>217</v>
      </c>
      <c r="E188" s="9">
        <v>102574276</v>
      </c>
      <c r="F188" s="9">
        <v>3500000</v>
      </c>
      <c r="G188" s="9">
        <v>0</v>
      </c>
      <c r="H188" s="9">
        <v>0</v>
      </c>
      <c r="I188" s="9">
        <v>19152350</v>
      </c>
      <c r="J188" s="10">
        <v>6000000</v>
      </c>
      <c r="K188" s="9">
        <v>0</v>
      </c>
      <c r="L188" s="9">
        <v>0</v>
      </c>
      <c r="M188" s="9">
        <v>19087957</v>
      </c>
      <c r="N188" s="9">
        <v>11746098</v>
      </c>
      <c r="O188" s="9">
        <v>0</v>
      </c>
      <c r="P188" s="9">
        <v>0</v>
      </c>
      <c r="Q188" s="9">
        <v>162060681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6053612.8696299996</v>
      </c>
      <c r="AA188" s="8">
        <v>0</v>
      </c>
      <c r="AB188" s="8">
        <v>0</v>
      </c>
      <c r="AC188" s="8">
        <v>0</v>
      </c>
      <c r="AD188" s="11">
        <v>6053612.8696299996</v>
      </c>
      <c r="AE188" s="14">
        <v>4.0272957878145457E-2</v>
      </c>
    </row>
    <row r="189" spans="1:31" ht="11.85" customHeight="1" x14ac:dyDescent="0.2">
      <c r="A189" s="23">
        <v>188</v>
      </c>
      <c r="B189" s="13">
        <v>32298</v>
      </c>
      <c r="C189" s="13">
        <v>25619</v>
      </c>
      <c r="D189" s="12" t="s">
        <v>218</v>
      </c>
      <c r="E189" s="9">
        <v>102423313</v>
      </c>
      <c r="F189" s="9">
        <v>4500000</v>
      </c>
      <c r="G189" s="9">
        <v>0</v>
      </c>
      <c r="H189" s="9">
        <v>0</v>
      </c>
      <c r="I189" s="9">
        <v>19660000</v>
      </c>
      <c r="J189" s="10">
        <v>6000000</v>
      </c>
      <c r="K189" s="9">
        <v>0</v>
      </c>
      <c r="L189" s="9">
        <v>0</v>
      </c>
      <c r="M189" s="9">
        <v>23725000</v>
      </c>
      <c r="N189" s="9">
        <v>12215308</v>
      </c>
      <c r="O189" s="9">
        <v>0</v>
      </c>
      <c r="P189" s="9">
        <v>0</v>
      </c>
      <c r="Q189" s="9">
        <v>168523621</v>
      </c>
      <c r="R189" s="8">
        <v>0</v>
      </c>
      <c r="S189" s="8">
        <v>0</v>
      </c>
      <c r="T189" s="8">
        <v>0</v>
      </c>
      <c r="U189" s="8">
        <v>0</v>
      </c>
      <c r="V189" s="8">
        <v>5271037.3</v>
      </c>
      <c r="W189" s="8">
        <v>0</v>
      </c>
      <c r="X189" s="8">
        <v>0</v>
      </c>
      <c r="Y189" s="8">
        <v>0</v>
      </c>
      <c r="Z189" s="8">
        <v>6019435.18413</v>
      </c>
      <c r="AA189" s="8">
        <v>0</v>
      </c>
      <c r="AB189" s="8">
        <v>0</v>
      </c>
      <c r="AC189" s="8">
        <v>0</v>
      </c>
      <c r="AD189" s="11">
        <v>11290472.484130001</v>
      </c>
      <c r="AE189" s="14">
        <v>7.2232066660011876E-2</v>
      </c>
    </row>
    <row r="190" spans="1:31" ht="11.85" customHeight="1" x14ac:dyDescent="0.2">
      <c r="A190" s="23">
        <v>189</v>
      </c>
      <c r="B190" s="13">
        <v>32297</v>
      </c>
      <c r="C190" s="13">
        <v>25582</v>
      </c>
      <c r="D190" s="12" t="s">
        <v>219</v>
      </c>
      <c r="E190" s="9">
        <v>0</v>
      </c>
      <c r="F190" s="9">
        <v>0</v>
      </c>
      <c r="G190" s="9">
        <v>0</v>
      </c>
      <c r="H190" s="9">
        <v>0</v>
      </c>
      <c r="I190" s="9">
        <v>10217612</v>
      </c>
      <c r="J190" s="10">
        <v>0</v>
      </c>
      <c r="K190" s="9">
        <v>0</v>
      </c>
      <c r="L190" s="9">
        <v>0</v>
      </c>
      <c r="M190" s="9">
        <v>2097232</v>
      </c>
      <c r="N190" s="9">
        <v>0</v>
      </c>
      <c r="O190" s="9">
        <v>0</v>
      </c>
      <c r="P190" s="9">
        <v>0</v>
      </c>
      <c r="Q190" s="9">
        <v>12314844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451725.30592000001</v>
      </c>
      <c r="AA190" s="8">
        <v>0</v>
      </c>
      <c r="AB190" s="8">
        <v>0</v>
      </c>
      <c r="AC190" s="8">
        <v>0</v>
      </c>
      <c r="AD190" s="11">
        <v>451725.30592000001</v>
      </c>
      <c r="AE190" s="14">
        <v>3.6681366480972068E-2</v>
      </c>
    </row>
    <row r="191" spans="1:31" ht="11.85" customHeight="1" x14ac:dyDescent="0.2">
      <c r="A191" s="23">
        <v>190</v>
      </c>
      <c r="B191" s="16">
        <v>32323</v>
      </c>
      <c r="C191" s="16">
        <v>25624</v>
      </c>
      <c r="D191" s="15" t="s">
        <v>220</v>
      </c>
      <c r="E191" s="9">
        <v>0</v>
      </c>
      <c r="F191" s="9">
        <v>750240</v>
      </c>
      <c r="G191" s="9">
        <v>88965960</v>
      </c>
      <c r="H191" s="9">
        <v>35636400</v>
      </c>
      <c r="I191" s="9">
        <v>287048076</v>
      </c>
      <c r="J191" s="10">
        <v>35636400</v>
      </c>
      <c r="K191" s="9">
        <v>0</v>
      </c>
      <c r="L191" s="9">
        <v>61832280</v>
      </c>
      <c r="M191" s="9">
        <v>61832280</v>
      </c>
      <c r="N191" s="9">
        <v>0</v>
      </c>
      <c r="O191" s="9">
        <v>0</v>
      </c>
      <c r="P191" s="9">
        <v>0</v>
      </c>
      <c r="Q191" s="9">
        <v>571701636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27605287.100699998</v>
      </c>
      <c r="AA191" s="8">
        <v>0</v>
      </c>
      <c r="AB191" s="8">
        <v>0</v>
      </c>
      <c r="AC191" s="8">
        <v>0</v>
      </c>
      <c r="AD191" s="11">
        <v>27605287.100699998</v>
      </c>
      <c r="AE191" s="14">
        <v>4.8286178248228763E-2</v>
      </c>
    </row>
    <row r="192" spans="1:31" ht="11.85" customHeight="1" x14ac:dyDescent="0.2">
      <c r="A192" s="23">
        <v>191</v>
      </c>
      <c r="B192" s="16">
        <v>32327</v>
      </c>
      <c r="C192" s="16">
        <v>25633</v>
      </c>
      <c r="D192" s="15" t="s">
        <v>221</v>
      </c>
      <c r="E192" s="9">
        <v>20230664</v>
      </c>
      <c r="F192" s="9">
        <v>998279</v>
      </c>
      <c r="G192" s="9">
        <v>665478</v>
      </c>
      <c r="H192" s="9">
        <v>0</v>
      </c>
      <c r="I192" s="9">
        <v>4290574</v>
      </c>
      <c r="J192" s="10">
        <v>415909</v>
      </c>
      <c r="K192" s="9">
        <v>0</v>
      </c>
      <c r="L192" s="9">
        <v>0</v>
      </c>
      <c r="M192" s="9">
        <v>5715699</v>
      </c>
      <c r="N192" s="9">
        <v>3803484</v>
      </c>
      <c r="O192" s="9">
        <v>2023005</v>
      </c>
      <c r="P192" s="9">
        <v>0</v>
      </c>
      <c r="Q192" s="9">
        <v>38143092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1191347.6122099999</v>
      </c>
      <c r="AA192" s="8">
        <v>0</v>
      </c>
      <c r="AB192" s="8">
        <v>0</v>
      </c>
      <c r="AC192" s="8">
        <v>0</v>
      </c>
      <c r="AD192" s="11">
        <v>1191347.6122099999</v>
      </c>
      <c r="AE192" s="14">
        <v>3.6864877543286337E-2</v>
      </c>
    </row>
    <row r="193" spans="1:31" ht="11.85" customHeight="1" x14ac:dyDescent="0.2">
      <c r="A193" s="23">
        <v>192</v>
      </c>
      <c r="B193" s="13">
        <v>32333</v>
      </c>
      <c r="C193" s="13">
        <v>25632</v>
      </c>
      <c r="D193" s="12" t="s">
        <v>222</v>
      </c>
      <c r="E193" s="9">
        <v>0</v>
      </c>
      <c r="F193" s="9">
        <v>0</v>
      </c>
      <c r="G193" s="9">
        <v>0</v>
      </c>
      <c r="H193" s="9">
        <v>7500000</v>
      </c>
      <c r="I193" s="9">
        <v>24200000</v>
      </c>
      <c r="J193" s="10">
        <v>7431000</v>
      </c>
      <c r="K193" s="9">
        <v>0</v>
      </c>
      <c r="L193" s="9">
        <v>0</v>
      </c>
      <c r="M193" s="9">
        <v>5981000</v>
      </c>
      <c r="N193" s="9">
        <v>0</v>
      </c>
      <c r="O193" s="9">
        <v>0</v>
      </c>
      <c r="P193" s="9">
        <v>0</v>
      </c>
      <c r="Q193" s="9">
        <v>45112000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1152268.8349899999</v>
      </c>
      <c r="AA193" s="8">
        <v>0</v>
      </c>
      <c r="AB193" s="8">
        <v>0</v>
      </c>
      <c r="AC193" s="8">
        <v>0</v>
      </c>
      <c r="AD193" s="11">
        <v>1152268.8349899999</v>
      </c>
      <c r="AE193" s="14">
        <v>2.5542401910578116E-2</v>
      </c>
    </row>
    <row r="194" spans="1:31" ht="11.85" customHeight="1" x14ac:dyDescent="0.2">
      <c r="A194" s="23">
        <v>193</v>
      </c>
      <c r="B194" s="13">
        <v>32337</v>
      </c>
      <c r="C194" s="13">
        <v>25591</v>
      </c>
      <c r="D194" s="12" t="s">
        <v>223</v>
      </c>
      <c r="E194" s="9">
        <v>0</v>
      </c>
      <c r="F194" s="9">
        <v>300000</v>
      </c>
      <c r="G194" s="9">
        <v>3200000</v>
      </c>
      <c r="H194" s="9">
        <v>0</v>
      </c>
      <c r="I194" s="9">
        <v>2000000</v>
      </c>
      <c r="J194" s="10">
        <v>250000</v>
      </c>
      <c r="K194" s="9">
        <v>0</v>
      </c>
      <c r="L194" s="9">
        <v>50000</v>
      </c>
      <c r="M194" s="9">
        <v>770000</v>
      </c>
      <c r="N194" s="9">
        <v>0</v>
      </c>
      <c r="O194" s="9">
        <v>0</v>
      </c>
      <c r="P194" s="9">
        <v>0</v>
      </c>
      <c r="Q194" s="9">
        <v>6570000</v>
      </c>
      <c r="R194" s="8">
        <v>0</v>
      </c>
      <c r="S194" s="8">
        <v>1072273</v>
      </c>
      <c r="T194" s="8">
        <v>1454545</v>
      </c>
      <c r="U194" s="8">
        <v>0</v>
      </c>
      <c r="V194" s="8">
        <v>547119</v>
      </c>
      <c r="W194" s="8">
        <v>0</v>
      </c>
      <c r="X194" s="8">
        <v>0</v>
      </c>
      <c r="Y194" s="8">
        <v>194823</v>
      </c>
      <c r="Z194" s="8">
        <v>223270.05121000001</v>
      </c>
      <c r="AA194" s="8">
        <v>0</v>
      </c>
      <c r="AB194" s="8">
        <v>0</v>
      </c>
      <c r="AC194" s="8">
        <v>0</v>
      </c>
      <c r="AD194" s="11">
        <v>3492030.0512100002</v>
      </c>
      <c r="AE194" s="14">
        <v>0.53151142331963475</v>
      </c>
    </row>
    <row r="195" spans="1:31" ht="11.85" customHeight="1" x14ac:dyDescent="0.2">
      <c r="A195" s="23">
        <v>194</v>
      </c>
      <c r="B195" s="16">
        <v>32350</v>
      </c>
      <c r="C195" s="16">
        <v>25594</v>
      </c>
      <c r="D195" s="15" t="s">
        <v>224</v>
      </c>
      <c r="E195" s="9">
        <v>0</v>
      </c>
      <c r="F195" s="9">
        <v>879336</v>
      </c>
      <c r="G195" s="9">
        <v>0</v>
      </c>
      <c r="H195" s="9">
        <v>0</v>
      </c>
      <c r="I195" s="9">
        <v>1325376</v>
      </c>
      <c r="J195" s="10">
        <v>1095984</v>
      </c>
      <c r="K195" s="9">
        <v>0</v>
      </c>
      <c r="L195" s="9">
        <v>0</v>
      </c>
      <c r="M195" s="9">
        <v>503388</v>
      </c>
      <c r="N195" s="9">
        <v>0</v>
      </c>
      <c r="O195" s="9">
        <v>0</v>
      </c>
      <c r="P195" s="9">
        <v>0</v>
      </c>
      <c r="Q195" s="9">
        <v>3804084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123197.77576</v>
      </c>
      <c r="AA195" s="8">
        <v>0</v>
      </c>
      <c r="AB195" s="8">
        <v>0</v>
      </c>
      <c r="AC195" s="8">
        <v>0</v>
      </c>
      <c r="AD195" s="11">
        <v>123197.77576</v>
      </c>
      <c r="AE195" s="14">
        <v>3.2385661241970475E-2</v>
      </c>
    </row>
    <row r="196" spans="1:31" ht="11.85" customHeight="1" x14ac:dyDescent="0.2">
      <c r="A196" s="23">
        <v>195</v>
      </c>
      <c r="B196" s="13">
        <v>32357</v>
      </c>
      <c r="C196" s="13">
        <v>25637</v>
      </c>
      <c r="D196" s="12" t="s">
        <v>225</v>
      </c>
      <c r="E196" s="9">
        <v>6759003</v>
      </c>
      <c r="F196" s="9">
        <v>3120500</v>
      </c>
      <c r="G196" s="9">
        <v>0</v>
      </c>
      <c r="H196" s="9">
        <v>0</v>
      </c>
      <c r="I196" s="9">
        <v>5180030</v>
      </c>
      <c r="J196" s="10">
        <v>1560250</v>
      </c>
      <c r="K196" s="9">
        <v>0</v>
      </c>
      <c r="L196" s="9">
        <v>4193952</v>
      </c>
      <c r="M196" s="9">
        <v>3357658</v>
      </c>
      <c r="N196" s="9">
        <v>0</v>
      </c>
      <c r="O196" s="9">
        <v>0</v>
      </c>
      <c r="P196" s="9">
        <v>0</v>
      </c>
      <c r="Q196" s="9">
        <v>24171393</v>
      </c>
      <c r="R196" s="8">
        <v>5162586.6900000004</v>
      </c>
      <c r="S196" s="8">
        <v>0</v>
      </c>
      <c r="T196" s="8">
        <v>0</v>
      </c>
      <c r="U196" s="8">
        <v>0</v>
      </c>
      <c r="V196" s="8">
        <v>1951563.87</v>
      </c>
      <c r="W196" s="8">
        <v>0</v>
      </c>
      <c r="X196" s="8">
        <v>0</v>
      </c>
      <c r="Y196" s="8">
        <v>0</v>
      </c>
      <c r="Z196" s="8">
        <v>760460.63991000003</v>
      </c>
      <c r="AA196" s="8">
        <v>0</v>
      </c>
      <c r="AB196" s="8">
        <v>0</v>
      </c>
      <c r="AC196" s="8">
        <v>0</v>
      </c>
      <c r="AD196" s="11">
        <v>7874611.19991</v>
      </c>
      <c r="AE196" s="14">
        <v>0.32578226666166898</v>
      </c>
    </row>
    <row r="197" spans="1:31" ht="11.85" customHeight="1" x14ac:dyDescent="0.2">
      <c r="A197" s="23">
        <v>196</v>
      </c>
      <c r="B197" s="16">
        <v>32355</v>
      </c>
      <c r="C197" s="16">
        <v>25729</v>
      </c>
      <c r="D197" s="15" t="s">
        <v>226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10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11">
        <v>0</v>
      </c>
      <c r="AE197" s="17"/>
    </row>
    <row r="198" spans="1:31" ht="11.85" customHeight="1" x14ac:dyDescent="0.2">
      <c r="A198" s="23">
        <v>197</v>
      </c>
      <c r="B198" s="13">
        <v>32356</v>
      </c>
      <c r="C198" s="13">
        <v>25654</v>
      </c>
      <c r="D198" s="12" t="s">
        <v>227</v>
      </c>
      <c r="E198" s="9">
        <v>35363250</v>
      </c>
      <c r="F198" s="9">
        <v>2934984</v>
      </c>
      <c r="G198" s="9">
        <v>3934984</v>
      </c>
      <c r="H198" s="9">
        <v>0</v>
      </c>
      <c r="I198" s="9">
        <v>28920000</v>
      </c>
      <c r="J198" s="10">
        <v>1956656</v>
      </c>
      <c r="K198" s="9">
        <v>0</v>
      </c>
      <c r="L198" s="9">
        <v>0</v>
      </c>
      <c r="M198" s="9">
        <v>20251566</v>
      </c>
      <c r="N198" s="9">
        <v>5376000</v>
      </c>
      <c r="O198" s="9">
        <v>0</v>
      </c>
      <c r="P198" s="9">
        <v>0</v>
      </c>
      <c r="Q198" s="9">
        <v>98737440</v>
      </c>
      <c r="R198" s="8">
        <v>0</v>
      </c>
      <c r="S198" s="8">
        <v>337500</v>
      </c>
      <c r="T198" s="8">
        <v>0</v>
      </c>
      <c r="U198" s="8">
        <v>0</v>
      </c>
      <c r="V198" s="8">
        <v>2846737.9</v>
      </c>
      <c r="W198" s="8">
        <v>228500.003</v>
      </c>
      <c r="X198" s="8">
        <v>0</v>
      </c>
      <c r="Y198" s="8">
        <v>0</v>
      </c>
      <c r="Z198" s="8">
        <v>5233508.4790500002</v>
      </c>
      <c r="AA198" s="8">
        <v>0</v>
      </c>
      <c r="AB198" s="8">
        <v>0</v>
      </c>
      <c r="AC198" s="8">
        <v>0</v>
      </c>
      <c r="AD198" s="11">
        <v>8646246.3820500001</v>
      </c>
      <c r="AE198" s="14">
        <v>9.2610465113327309E-2</v>
      </c>
    </row>
    <row r="199" spans="1:31" ht="11.85" customHeight="1" x14ac:dyDescent="0.2">
      <c r="A199" s="23">
        <v>198</v>
      </c>
      <c r="B199" s="13">
        <v>32370</v>
      </c>
      <c r="C199" s="13">
        <v>25615</v>
      </c>
      <c r="D199" s="12" t="s">
        <v>228</v>
      </c>
      <c r="E199" s="9">
        <v>0</v>
      </c>
      <c r="F199" s="9">
        <v>1948648</v>
      </c>
      <c r="G199" s="9">
        <v>4077170</v>
      </c>
      <c r="H199" s="9">
        <v>0</v>
      </c>
      <c r="I199" s="9">
        <v>12741160</v>
      </c>
      <c r="J199" s="10">
        <v>2038564</v>
      </c>
      <c r="K199" s="9">
        <v>0</v>
      </c>
      <c r="L199" s="9">
        <v>0</v>
      </c>
      <c r="M199" s="9">
        <v>14016690</v>
      </c>
      <c r="N199" s="9">
        <v>0</v>
      </c>
      <c r="O199" s="9">
        <v>0</v>
      </c>
      <c r="P199" s="9">
        <v>0</v>
      </c>
      <c r="Q199" s="9">
        <v>34822232</v>
      </c>
      <c r="R199" s="8">
        <v>0</v>
      </c>
      <c r="S199" s="8">
        <v>553500</v>
      </c>
      <c r="T199" s="8">
        <v>0</v>
      </c>
      <c r="U199" s="8">
        <v>0</v>
      </c>
      <c r="V199" s="8">
        <v>10430870.49</v>
      </c>
      <c r="W199" s="8">
        <v>0</v>
      </c>
      <c r="X199" s="8">
        <v>0</v>
      </c>
      <c r="Y199" s="8">
        <v>13302801.25</v>
      </c>
      <c r="Z199" s="8">
        <v>3832834.2518600002</v>
      </c>
      <c r="AA199" s="8">
        <v>0</v>
      </c>
      <c r="AB199" s="8">
        <v>0</v>
      </c>
      <c r="AC199" s="8">
        <v>0</v>
      </c>
      <c r="AD199" s="11">
        <v>28120005.991859999</v>
      </c>
      <c r="AE199" s="18">
        <v>0.80753025802194411</v>
      </c>
    </row>
    <row r="200" spans="1:31" ht="11.85" customHeight="1" x14ac:dyDescent="0.2">
      <c r="A200" s="23">
        <v>199</v>
      </c>
      <c r="B200" s="16">
        <v>32371</v>
      </c>
      <c r="C200" s="16">
        <v>25628</v>
      </c>
      <c r="D200" s="15" t="s">
        <v>229</v>
      </c>
      <c r="E200" s="9">
        <v>89203100</v>
      </c>
      <c r="F200" s="9">
        <v>2059200</v>
      </c>
      <c r="G200" s="9">
        <v>0</v>
      </c>
      <c r="H200" s="9">
        <v>0</v>
      </c>
      <c r="I200" s="9">
        <v>21384000</v>
      </c>
      <c r="J200" s="10">
        <v>5088800</v>
      </c>
      <c r="K200" s="9">
        <v>0</v>
      </c>
      <c r="L200" s="9">
        <v>0</v>
      </c>
      <c r="M200" s="9">
        <v>30612520</v>
      </c>
      <c r="N200" s="9">
        <v>3180125</v>
      </c>
      <c r="O200" s="9">
        <v>0</v>
      </c>
      <c r="P200" s="9">
        <v>0</v>
      </c>
      <c r="Q200" s="9">
        <v>151527745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7500951.0525599997</v>
      </c>
      <c r="AA200" s="8">
        <v>0</v>
      </c>
      <c r="AB200" s="8">
        <v>0</v>
      </c>
      <c r="AC200" s="8">
        <v>0</v>
      </c>
      <c r="AD200" s="11">
        <v>7500951.0525599997</v>
      </c>
      <c r="AE200" s="14">
        <v>5.0563339354955605E-2</v>
      </c>
    </row>
    <row r="201" spans="1:31" ht="11.85" customHeight="1" x14ac:dyDescent="0.2">
      <c r="A201" s="23">
        <v>200</v>
      </c>
      <c r="B201" s="16">
        <v>32380</v>
      </c>
      <c r="C201" s="16">
        <v>25671</v>
      </c>
      <c r="D201" s="15" t="s">
        <v>230</v>
      </c>
      <c r="E201" s="9">
        <v>0</v>
      </c>
      <c r="F201" s="9">
        <v>4110132</v>
      </c>
      <c r="G201" s="9">
        <v>0</v>
      </c>
      <c r="H201" s="9">
        <v>0</v>
      </c>
      <c r="I201" s="9">
        <v>15088305</v>
      </c>
      <c r="J201" s="10">
        <v>1537018</v>
      </c>
      <c r="K201" s="9">
        <v>0</v>
      </c>
      <c r="L201" s="9">
        <v>0</v>
      </c>
      <c r="M201" s="9">
        <v>3500000</v>
      </c>
      <c r="N201" s="9">
        <v>0</v>
      </c>
      <c r="O201" s="9">
        <v>0</v>
      </c>
      <c r="P201" s="9">
        <v>0</v>
      </c>
      <c r="Q201" s="9">
        <v>24235455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2568849.3483199999</v>
      </c>
      <c r="AA201" s="8">
        <v>0</v>
      </c>
      <c r="AB201" s="8">
        <v>0</v>
      </c>
      <c r="AC201" s="8">
        <v>0</v>
      </c>
      <c r="AD201" s="11">
        <v>2568849.3483199999</v>
      </c>
      <c r="AE201" s="14">
        <v>0.10599550733914423</v>
      </c>
    </row>
    <row r="202" spans="1:31" ht="11.85" customHeight="1" x14ac:dyDescent="0.2">
      <c r="A202" s="23">
        <v>201</v>
      </c>
      <c r="B202" s="16">
        <v>32399</v>
      </c>
      <c r="C202" s="16">
        <v>25603</v>
      </c>
      <c r="D202" s="15" t="s">
        <v>231</v>
      </c>
      <c r="E202" s="9">
        <v>0</v>
      </c>
      <c r="F202" s="9">
        <v>2934336</v>
      </c>
      <c r="G202" s="9">
        <v>5868672</v>
      </c>
      <c r="H202" s="9">
        <v>0</v>
      </c>
      <c r="I202" s="9">
        <v>22007520</v>
      </c>
      <c r="J202" s="10">
        <v>2934336</v>
      </c>
      <c r="K202" s="9">
        <v>0</v>
      </c>
      <c r="L202" s="9">
        <v>0</v>
      </c>
      <c r="M202" s="9">
        <v>2934336</v>
      </c>
      <c r="N202" s="9">
        <v>0</v>
      </c>
      <c r="O202" s="9">
        <v>0</v>
      </c>
      <c r="P202" s="9">
        <v>0</v>
      </c>
      <c r="Q202" s="9">
        <v>36679200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4950812.0899299998</v>
      </c>
      <c r="AA202" s="8">
        <v>0</v>
      </c>
      <c r="AB202" s="8">
        <v>0</v>
      </c>
      <c r="AC202" s="8">
        <v>0</v>
      </c>
      <c r="AD202" s="11">
        <v>4950812.0899299998</v>
      </c>
      <c r="AE202" s="14">
        <v>0.13497601065263146</v>
      </c>
    </row>
    <row r="203" spans="1:31" ht="11.85" customHeight="1" x14ac:dyDescent="0.2">
      <c r="A203" s="23">
        <v>202</v>
      </c>
      <c r="B203" s="13">
        <v>32403</v>
      </c>
      <c r="C203" s="13">
        <v>25634</v>
      </c>
      <c r="D203" s="12" t="s">
        <v>232</v>
      </c>
      <c r="E203" s="9">
        <v>0</v>
      </c>
      <c r="F203" s="9">
        <v>0</v>
      </c>
      <c r="G203" s="9">
        <v>0</v>
      </c>
      <c r="H203" s="9">
        <v>0</v>
      </c>
      <c r="I203" s="9">
        <v>1019535</v>
      </c>
      <c r="J203" s="10">
        <v>197728</v>
      </c>
      <c r="K203" s="9">
        <v>0</v>
      </c>
      <c r="L203" s="9">
        <v>0</v>
      </c>
      <c r="M203" s="9">
        <v>133466</v>
      </c>
      <c r="N203" s="9">
        <v>0</v>
      </c>
      <c r="O203" s="9">
        <v>0</v>
      </c>
      <c r="P203" s="9">
        <v>0</v>
      </c>
      <c r="Q203" s="9">
        <v>1350729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33574.477809999997</v>
      </c>
      <c r="AA203" s="8">
        <v>0</v>
      </c>
      <c r="AB203" s="8">
        <v>0</v>
      </c>
      <c r="AC203" s="8">
        <v>0</v>
      </c>
      <c r="AD203" s="11">
        <v>33574.477809999997</v>
      </c>
      <c r="AE203" s="14">
        <v>2.4856561020012151E-2</v>
      </c>
    </row>
    <row r="204" spans="1:31" ht="11.85" customHeight="1" x14ac:dyDescent="0.2">
      <c r="A204" s="23">
        <v>203</v>
      </c>
      <c r="B204" s="16">
        <v>32405</v>
      </c>
      <c r="C204" s="16">
        <v>25627</v>
      </c>
      <c r="D204" s="15" t="s">
        <v>233</v>
      </c>
      <c r="E204" s="9">
        <v>0</v>
      </c>
      <c r="F204" s="9">
        <v>500000</v>
      </c>
      <c r="G204" s="9">
        <v>0</v>
      </c>
      <c r="H204" s="9">
        <v>0</v>
      </c>
      <c r="I204" s="9">
        <v>6750000</v>
      </c>
      <c r="J204" s="10">
        <v>350000</v>
      </c>
      <c r="K204" s="9">
        <v>0</v>
      </c>
      <c r="L204" s="9">
        <v>0</v>
      </c>
      <c r="M204" s="9">
        <v>7293528</v>
      </c>
      <c r="N204" s="9">
        <v>64308472</v>
      </c>
      <c r="O204" s="9">
        <v>0</v>
      </c>
      <c r="P204" s="9">
        <v>0</v>
      </c>
      <c r="Q204" s="9">
        <v>79202000</v>
      </c>
      <c r="R204" s="8">
        <v>0</v>
      </c>
      <c r="S204" s="8">
        <v>1524591</v>
      </c>
      <c r="T204" s="8">
        <v>0</v>
      </c>
      <c r="U204" s="8">
        <v>0</v>
      </c>
      <c r="V204" s="8">
        <v>3106140.29</v>
      </c>
      <c r="W204" s="8">
        <v>0</v>
      </c>
      <c r="X204" s="8">
        <v>0</v>
      </c>
      <c r="Y204" s="8">
        <v>0</v>
      </c>
      <c r="Z204" s="8">
        <v>3033051.5843000002</v>
      </c>
      <c r="AA204" s="8">
        <v>0</v>
      </c>
      <c r="AB204" s="8">
        <v>0</v>
      </c>
      <c r="AC204" s="8">
        <v>0</v>
      </c>
      <c r="AD204" s="11">
        <v>7663782.8743000003</v>
      </c>
      <c r="AE204" s="14">
        <v>0.5145713543694953</v>
      </c>
    </row>
    <row r="205" spans="1:31" ht="11.85" customHeight="1" x14ac:dyDescent="0.2">
      <c r="A205" s="23">
        <v>204</v>
      </c>
      <c r="B205" s="13">
        <v>32442</v>
      </c>
      <c r="C205" s="13">
        <v>25706</v>
      </c>
      <c r="D205" s="12" t="s">
        <v>234</v>
      </c>
      <c r="E205" s="9">
        <v>0</v>
      </c>
      <c r="F205" s="9">
        <v>2206773</v>
      </c>
      <c r="G205" s="9">
        <v>4419693</v>
      </c>
      <c r="H205" s="9">
        <v>0</v>
      </c>
      <c r="I205" s="9">
        <v>16135875</v>
      </c>
      <c r="J205" s="10">
        <v>2206773</v>
      </c>
      <c r="K205" s="9">
        <v>0</v>
      </c>
      <c r="L205" s="9">
        <v>0</v>
      </c>
      <c r="M205" s="9">
        <v>17022887</v>
      </c>
      <c r="N205" s="9">
        <v>0</v>
      </c>
      <c r="O205" s="9">
        <v>0</v>
      </c>
      <c r="P205" s="9">
        <v>0</v>
      </c>
      <c r="Q205" s="9">
        <v>41992001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11">
        <v>0</v>
      </c>
      <c r="AE205" s="17">
        <v>0</v>
      </c>
    </row>
    <row r="206" spans="1:31" ht="11.85" customHeight="1" x14ac:dyDescent="0.2">
      <c r="A206" s="23">
        <v>205</v>
      </c>
      <c r="B206" s="13">
        <v>32436</v>
      </c>
      <c r="C206" s="13">
        <v>25636</v>
      </c>
      <c r="D206" s="12" t="s">
        <v>235</v>
      </c>
      <c r="E206" s="9">
        <v>560000</v>
      </c>
      <c r="F206" s="9">
        <v>400000</v>
      </c>
      <c r="G206" s="9">
        <v>0</v>
      </c>
      <c r="H206" s="9">
        <v>0</v>
      </c>
      <c r="I206" s="9">
        <v>900000</v>
      </c>
      <c r="J206" s="10">
        <v>150000</v>
      </c>
      <c r="K206" s="9">
        <v>0</v>
      </c>
      <c r="L206" s="9">
        <v>0</v>
      </c>
      <c r="M206" s="9">
        <v>171200</v>
      </c>
      <c r="N206" s="9">
        <v>0</v>
      </c>
      <c r="O206" s="9">
        <v>0</v>
      </c>
      <c r="P206" s="9">
        <v>0</v>
      </c>
      <c r="Q206" s="9">
        <v>2181200</v>
      </c>
      <c r="R206" s="8">
        <v>0</v>
      </c>
      <c r="S206" s="8">
        <v>105000</v>
      </c>
      <c r="T206" s="8">
        <v>0</v>
      </c>
      <c r="U206" s="8">
        <v>0</v>
      </c>
      <c r="V206" s="8">
        <v>244589</v>
      </c>
      <c r="W206" s="8">
        <v>0</v>
      </c>
      <c r="X206" s="8">
        <v>0</v>
      </c>
      <c r="Y206" s="8">
        <v>0</v>
      </c>
      <c r="Z206" s="8">
        <v>179863.71804000001</v>
      </c>
      <c r="AA206" s="8">
        <v>0</v>
      </c>
      <c r="AB206" s="8">
        <v>0</v>
      </c>
      <c r="AC206" s="8">
        <v>0</v>
      </c>
      <c r="AD206" s="11">
        <v>529452.71803999995</v>
      </c>
      <c r="AE206" s="14">
        <v>0.24273460390610674</v>
      </c>
    </row>
    <row r="207" spans="1:31" ht="11.85" customHeight="1" x14ac:dyDescent="0.2">
      <c r="A207" s="23">
        <v>206</v>
      </c>
      <c r="B207" s="16">
        <v>32475</v>
      </c>
      <c r="C207" s="16">
        <v>25635</v>
      </c>
      <c r="D207" s="15" t="s">
        <v>236</v>
      </c>
      <c r="E207" s="9">
        <v>1730005</v>
      </c>
      <c r="F207" s="9">
        <v>374460</v>
      </c>
      <c r="G207" s="9">
        <v>0</v>
      </c>
      <c r="H207" s="9">
        <v>0</v>
      </c>
      <c r="I207" s="9">
        <v>842535</v>
      </c>
      <c r="J207" s="10">
        <v>249640</v>
      </c>
      <c r="K207" s="9">
        <v>0</v>
      </c>
      <c r="L207" s="9">
        <v>0</v>
      </c>
      <c r="M207" s="9">
        <v>861258</v>
      </c>
      <c r="N207" s="9">
        <v>0</v>
      </c>
      <c r="O207" s="9">
        <v>0</v>
      </c>
      <c r="P207" s="9">
        <v>0</v>
      </c>
      <c r="Q207" s="9">
        <v>4057898</v>
      </c>
      <c r="R207" s="8">
        <v>1069433.6000000001</v>
      </c>
      <c r="S207" s="8">
        <v>373500</v>
      </c>
      <c r="T207" s="8">
        <v>0</v>
      </c>
      <c r="U207" s="8">
        <v>0</v>
      </c>
      <c r="V207" s="8">
        <v>2250842.5</v>
      </c>
      <c r="W207" s="8">
        <v>180965.6189</v>
      </c>
      <c r="X207" s="8">
        <v>0</v>
      </c>
      <c r="Y207" s="8">
        <v>0</v>
      </c>
      <c r="Z207" s="8">
        <v>184031.28679000001</v>
      </c>
      <c r="AA207" s="8">
        <v>0</v>
      </c>
      <c r="AB207" s="8">
        <v>0</v>
      </c>
      <c r="AC207" s="8">
        <v>0</v>
      </c>
      <c r="AD207" s="11">
        <v>4058773.00569</v>
      </c>
      <c r="AE207" s="19">
        <v>1.0002156302819833</v>
      </c>
    </row>
    <row r="208" spans="1:31" ht="11.85" customHeight="1" x14ac:dyDescent="0.2">
      <c r="A208" s="23">
        <v>207</v>
      </c>
      <c r="B208" s="16">
        <v>32486</v>
      </c>
      <c r="C208" s="16">
        <v>25675</v>
      </c>
      <c r="D208" s="15" t="s">
        <v>237</v>
      </c>
      <c r="E208" s="9">
        <v>6673680</v>
      </c>
      <c r="F208" s="9">
        <v>200000</v>
      </c>
      <c r="G208" s="9">
        <v>0</v>
      </c>
      <c r="H208" s="9">
        <v>0</v>
      </c>
      <c r="I208" s="9">
        <v>3750000</v>
      </c>
      <c r="J208" s="10">
        <v>487469</v>
      </c>
      <c r="K208" s="9">
        <v>0</v>
      </c>
      <c r="L208" s="9">
        <v>0</v>
      </c>
      <c r="M208" s="9">
        <v>1391383</v>
      </c>
      <c r="N208" s="9">
        <v>0</v>
      </c>
      <c r="O208" s="9">
        <v>0</v>
      </c>
      <c r="P208" s="9">
        <v>0</v>
      </c>
      <c r="Q208" s="9">
        <v>12502532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295212.6948</v>
      </c>
      <c r="AA208" s="8">
        <v>0</v>
      </c>
      <c r="AB208" s="8">
        <v>0</v>
      </c>
      <c r="AC208" s="8">
        <v>0</v>
      </c>
      <c r="AD208" s="11">
        <v>295212.6948</v>
      </c>
      <c r="AE208" s="14">
        <v>2.3612232690146288E-2</v>
      </c>
    </row>
    <row r="209" spans="1:31" ht="11.85" customHeight="1" x14ac:dyDescent="0.2">
      <c r="A209" s="23">
        <v>208</v>
      </c>
      <c r="B209" s="13">
        <v>32510</v>
      </c>
      <c r="C209" s="13">
        <v>25698</v>
      </c>
      <c r="D209" s="12" t="s">
        <v>238</v>
      </c>
      <c r="E209" s="9">
        <v>0</v>
      </c>
      <c r="F209" s="9">
        <v>350000</v>
      </c>
      <c r="G209" s="9">
        <v>0</v>
      </c>
      <c r="H209" s="9">
        <v>0</v>
      </c>
      <c r="I209" s="9">
        <v>1350000</v>
      </c>
      <c r="J209" s="10">
        <v>300000</v>
      </c>
      <c r="K209" s="9">
        <v>0</v>
      </c>
      <c r="L209" s="9">
        <v>0</v>
      </c>
      <c r="M209" s="9">
        <v>466675.20000000001</v>
      </c>
      <c r="N209" s="9">
        <v>0</v>
      </c>
      <c r="O209" s="9">
        <v>0</v>
      </c>
      <c r="P209" s="9">
        <v>0</v>
      </c>
      <c r="Q209" s="9">
        <v>2466675.2000000002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11">
        <v>0</v>
      </c>
      <c r="AE209" s="17">
        <v>0</v>
      </c>
    </row>
    <row r="210" spans="1:31" ht="11.85" customHeight="1" x14ac:dyDescent="0.2">
      <c r="A210" s="23">
        <v>209</v>
      </c>
      <c r="B210" s="16">
        <v>32503</v>
      </c>
      <c r="C210" s="16">
        <v>25645</v>
      </c>
      <c r="D210" s="15" t="s">
        <v>239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10">
        <v>0</v>
      </c>
      <c r="K210" s="9">
        <v>0</v>
      </c>
      <c r="L210" s="9">
        <v>0</v>
      </c>
      <c r="M210" s="9">
        <v>0</v>
      </c>
      <c r="N210" s="9">
        <v>9038360</v>
      </c>
      <c r="O210" s="9">
        <v>0</v>
      </c>
      <c r="P210" s="9">
        <v>0</v>
      </c>
      <c r="Q210" s="9">
        <v>9038360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173717</v>
      </c>
      <c r="Z210" s="8">
        <v>163744.84447000001</v>
      </c>
      <c r="AA210" s="8">
        <v>0</v>
      </c>
      <c r="AB210" s="8">
        <v>0</v>
      </c>
      <c r="AC210" s="8">
        <v>0</v>
      </c>
      <c r="AD210" s="11">
        <v>337461.84447000001</v>
      </c>
      <c r="AE210" s="17">
        <f>+AD210/Q210</f>
        <v>3.7336623510238587E-2</v>
      </c>
    </row>
    <row r="211" spans="1:31" ht="11.85" customHeight="1" x14ac:dyDescent="0.2">
      <c r="A211" s="23">
        <v>210</v>
      </c>
      <c r="B211" s="13">
        <v>32506</v>
      </c>
      <c r="C211" s="13">
        <v>25704</v>
      </c>
      <c r="D211" s="12" t="s">
        <v>240</v>
      </c>
      <c r="E211" s="9">
        <v>0</v>
      </c>
      <c r="F211" s="9">
        <v>0</v>
      </c>
      <c r="G211" s="9">
        <v>0</v>
      </c>
      <c r="H211" s="9">
        <v>9000000</v>
      </c>
      <c r="I211" s="9">
        <v>4160000</v>
      </c>
      <c r="J211" s="10">
        <v>37864212</v>
      </c>
      <c r="K211" s="9">
        <v>0</v>
      </c>
      <c r="L211" s="9">
        <v>0</v>
      </c>
      <c r="M211" s="9">
        <v>6634000</v>
      </c>
      <c r="N211" s="9">
        <v>0</v>
      </c>
      <c r="O211" s="9">
        <v>0</v>
      </c>
      <c r="P211" s="9">
        <v>0</v>
      </c>
      <c r="Q211" s="9">
        <v>57658212</v>
      </c>
      <c r="R211" s="8">
        <v>0</v>
      </c>
      <c r="S211" s="8">
        <v>0</v>
      </c>
      <c r="T211" s="8">
        <v>0</v>
      </c>
      <c r="U211" s="8">
        <v>0</v>
      </c>
      <c r="V211" s="8">
        <v>3578235.6</v>
      </c>
      <c r="W211" s="8">
        <v>2053790.1143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11">
        <v>5632025.7143000001</v>
      </c>
      <c r="AE211" s="14">
        <v>9.7679506854981918E-2</v>
      </c>
    </row>
    <row r="212" spans="1:31" ht="11.85" customHeight="1" x14ac:dyDescent="0.2">
      <c r="A212" s="23">
        <v>211</v>
      </c>
      <c r="B212" s="16">
        <v>32525</v>
      </c>
      <c r="C212" s="16">
        <v>25713</v>
      </c>
      <c r="D212" s="15" t="s">
        <v>241</v>
      </c>
      <c r="E212" s="9">
        <v>0</v>
      </c>
      <c r="F212" s="9">
        <v>0</v>
      </c>
      <c r="G212" s="9">
        <v>0</v>
      </c>
      <c r="H212" s="9">
        <v>0</v>
      </c>
      <c r="I212" s="9">
        <v>3764179</v>
      </c>
      <c r="J212" s="10">
        <v>142944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3907123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11">
        <v>0</v>
      </c>
      <c r="AE212" s="17">
        <v>0</v>
      </c>
    </row>
    <row r="213" spans="1:31" ht="11.85" customHeight="1" x14ac:dyDescent="0.2">
      <c r="A213" s="23">
        <v>212</v>
      </c>
      <c r="B213" s="16">
        <v>32535</v>
      </c>
      <c r="C213" s="16">
        <v>25640</v>
      </c>
      <c r="D213" s="15" t="s">
        <v>242</v>
      </c>
      <c r="E213" s="9">
        <v>0</v>
      </c>
      <c r="F213" s="9">
        <v>1026716</v>
      </c>
      <c r="G213" s="9">
        <v>0</v>
      </c>
      <c r="H213" s="9">
        <v>0</v>
      </c>
      <c r="I213" s="9">
        <v>3221552</v>
      </c>
      <c r="J213" s="10">
        <v>0</v>
      </c>
      <c r="K213" s="9">
        <v>0</v>
      </c>
      <c r="L213" s="9">
        <v>0</v>
      </c>
      <c r="M213" s="9">
        <v>531187</v>
      </c>
      <c r="N213" s="9">
        <v>0</v>
      </c>
      <c r="O213" s="9">
        <v>0</v>
      </c>
      <c r="P213" s="9">
        <v>0</v>
      </c>
      <c r="Q213" s="9">
        <v>4779455</v>
      </c>
      <c r="R213" s="8">
        <v>0</v>
      </c>
      <c r="S213" s="8">
        <v>114000</v>
      </c>
      <c r="T213" s="8">
        <v>0</v>
      </c>
      <c r="U213" s="8">
        <v>0</v>
      </c>
      <c r="V213" s="8">
        <v>1492403.51</v>
      </c>
      <c r="W213" s="8">
        <v>0</v>
      </c>
      <c r="X213" s="8">
        <v>0</v>
      </c>
      <c r="Y213" s="8">
        <v>2000000</v>
      </c>
      <c r="Z213" s="8">
        <v>99347.844280000005</v>
      </c>
      <c r="AA213" s="8">
        <v>0</v>
      </c>
      <c r="AB213" s="8">
        <v>0</v>
      </c>
      <c r="AC213" s="8">
        <v>0</v>
      </c>
      <c r="AD213" s="11">
        <v>3705751.3542800001</v>
      </c>
      <c r="AE213" s="18">
        <v>0.77535019249684334</v>
      </c>
    </row>
    <row r="214" spans="1:31" ht="11.85" customHeight="1" x14ac:dyDescent="0.2">
      <c r="A214" s="23">
        <v>213</v>
      </c>
      <c r="B214" s="16">
        <v>32554</v>
      </c>
      <c r="C214" s="16">
        <v>25644</v>
      </c>
      <c r="D214" s="15" t="s">
        <v>243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10">
        <v>0</v>
      </c>
      <c r="K214" s="9">
        <v>0</v>
      </c>
      <c r="L214" s="9">
        <v>0</v>
      </c>
      <c r="M214" s="9">
        <v>0</v>
      </c>
      <c r="N214" s="9">
        <v>19045000</v>
      </c>
      <c r="O214" s="9">
        <v>0</v>
      </c>
      <c r="P214" s="9">
        <v>0</v>
      </c>
      <c r="Q214" s="9">
        <v>19045000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17313636</v>
      </c>
      <c r="Z214" s="8">
        <v>465798.18076999998</v>
      </c>
      <c r="AA214" s="8">
        <v>0</v>
      </c>
      <c r="AB214" s="8">
        <v>0</v>
      </c>
      <c r="AC214" s="8">
        <v>0</v>
      </c>
      <c r="AD214" s="11">
        <v>17779434.180769999</v>
      </c>
      <c r="AE214" s="17">
        <f>+AD214/Q214</f>
        <v>0.93354865743082172</v>
      </c>
    </row>
    <row r="215" spans="1:31" ht="11.85" customHeight="1" x14ac:dyDescent="0.2">
      <c r="A215" s="23">
        <v>214</v>
      </c>
      <c r="B215" s="13">
        <v>32553</v>
      </c>
      <c r="C215" s="13">
        <v>25672</v>
      </c>
      <c r="D215" s="12" t="s">
        <v>244</v>
      </c>
      <c r="E215" s="9">
        <v>11702003</v>
      </c>
      <c r="F215" s="9">
        <v>1830910</v>
      </c>
      <c r="G215" s="9">
        <v>0</v>
      </c>
      <c r="H215" s="9">
        <v>0</v>
      </c>
      <c r="I215" s="9">
        <v>9046856</v>
      </c>
      <c r="J215" s="10">
        <v>2714081</v>
      </c>
      <c r="K215" s="9">
        <v>0</v>
      </c>
      <c r="L215" s="9">
        <v>0</v>
      </c>
      <c r="M215" s="9">
        <v>19664899</v>
      </c>
      <c r="N215" s="9">
        <v>0</v>
      </c>
      <c r="O215" s="9">
        <v>0</v>
      </c>
      <c r="P215" s="9">
        <v>0</v>
      </c>
      <c r="Q215" s="9">
        <v>44958749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3021870.4822</v>
      </c>
      <c r="AA215" s="8">
        <v>0</v>
      </c>
      <c r="AB215" s="8">
        <v>0</v>
      </c>
      <c r="AC215" s="8">
        <v>0</v>
      </c>
      <c r="AD215" s="11">
        <v>3021870.4822</v>
      </c>
      <c r="AE215" s="14">
        <v>6.7214291976851928E-2</v>
      </c>
    </row>
    <row r="216" spans="1:31" ht="11.85" customHeight="1" x14ac:dyDescent="0.2">
      <c r="A216" s="23">
        <v>215</v>
      </c>
      <c r="B216" s="13">
        <v>32563</v>
      </c>
      <c r="C216" s="13">
        <v>25646</v>
      </c>
      <c r="D216" s="12" t="s">
        <v>245</v>
      </c>
      <c r="E216" s="9">
        <v>0</v>
      </c>
      <c r="F216" s="9">
        <v>0</v>
      </c>
      <c r="G216" s="9">
        <v>0</v>
      </c>
      <c r="H216" s="9">
        <v>0</v>
      </c>
      <c r="I216" s="9">
        <v>12578771</v>
      </c>
      <c r="J216" s="10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12578771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2990909</v>
      </c>
      <c r="Z216" s="8">
        <v>310623.95598999999</v>
      </c>
      <c r="AA216" s="8">
        <v>0</v>
      </c>
      <c r="AB216" s="8">
        <v>0</v>
      </c>
      <c r="AC216" s="8">
        <v>0</v>
      </c>
      <c r="AD216" s="11">
        <v>3301532.9559900002</v>
      </c>
      <c r="AE216" s="14">
        <v>0.26246864308047269</v>
      </c>
    </row>
    <row r="217" spans="1:31" ht="11.85" customHeight="1" x14ac:dyDescent="0.2">
      <c r="A217" s="23">
        <v>216</v>
      </c>
      <c r="B217" s="16">
        <v>32561</v>
      </c>
      <c r="C217" s="16">
        <v>25688</v>
      </c>
      <c r="D217" s="15" t="s">
        <v>246</v>
      </c>
      <c r="E217" s="9">
        <v>2336350</v>
      </c>
      <c r="F217" s="9">
        <v>1581399</v>
      </c>
      <c r="G217" s="9">
        <v>0</v>
      </c>
      <c r="H217" s="9">
        <v>0</v>
      </c>
      <c r="I217" s="9">
        <v>5780286</v>
      </c>
      <c r="J217" s="10">
        <v>357481</v>
      </c>
      <c r="K217" s="9">
        <v>0</v>
      </c>
      <c r="L217" s="9">
        <v>363540</v>
      </c>
      <c r="M217" s="9">
        <v>3223388</v>
      </c>
      <c r="N217" s="9">
        <v>896732</v>
      </c>
      <c r="O217" s="9">
        <v>0</v>
      </c>
      <c r="P217" s="9">
        <v>0</v>
      </c>
      <c r="Q217" s="9">
        <v>14539176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11">
        <v>0</v>
      </c>
      <c r="AE217" s="17">
        <v>0</v>
      </c>
    </row>
    <row r="218" spans="1:31" ht="11.85" customHeight="1" x14ac:dyDescent="0.2">
      <c r="A218" s="23">
        <v>217</v>
      </c>
      <c r="B218" s="16">
        <v>32573</v>
      </c>
      <c r="C218" s="16">
        <v>25650</v>
      </c>
      <c r="D218" s="15" t="s">
        <v>247</v>
      </c>
      <c r="E218" s="9">
        <v>0</v>
      </c>
      <c r="F218" s="9">
        <v>0</v>
      </c>
      <c r="G218" s="9">
        <v>0</v>
      </c>
      <c r="H218" s="9">
        <v>0</v>
      </c>
      <c r="I218" s="9">
        <v>1385586</v>
      </c>
      <c r="J218" s="10">
        <v>916932</v>
      </c>
      <c r="K218" s="9">
        <v>0</v>
      </c>
      <c r="L218" s="9">
        <v>1173624</v>
      </c>
      <c r="M218" s="9">
        <v>293406</v>
      </c>
      <c r="N218" s="9">
        <v>0</v>
      </c>
      <c r="O218" s="9">
        <v>0</v>
      </c>
      <c r="P218" s="9">
        <v>0</v>
      </c>
      <c r="Q218" s="9">
        <v>3769548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155056.48368</v>
      </c>
      <c r="AA218" s="8">
        <v>0</v>
      </c>
      <c r="AB218" s="8">
        <v>0</v>
      </c>
      <c r="AC218" s="8">
        <v>0</v>
      </c>
      <c r="AD218" s="11">
        <v>155056.48368</v>
      </c>
      <c r="AE218" s="14">
        <v>4.1133972476275676E-2</v>
      </c>
    </row>
    <row r="219" spans="1:31" ht="11.85" customHeight="1" x14ac:dyDescent="0.2">
      <c r="A219" s="23">
        <v>218</v>
      </c>
      <c r="B219" s="13">
        <v>32580</v>
      </c>
      <c r="C219" s="13">
        <v>25652</v>
      </c>
      <c r="D219" s="12" t="s">
        <v>248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10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10850.83352</v>
      </c>
      <c r="AA219" s="8">
        <v>0</v>
      </c>
      <c r="AB219" s="8">
        <v>0</v>
      </c>
      <c r="AC219" s="8">
        <v>0</v>
      </c>
      <c r="AD219" s="11">
        <v>10850.83352</v>
      </c>
      <c r="AE219" s="17"/>
    </row>
    <row r="220" spans="1:31" ht="11.85" customHeight="1" x14ac:dyDescent="0.2">
      <c r="A220" s="23">
        <v>219</v>
      </c>
      <c r="B220" s="16">
        <v>32586</v>
      </c>
      <c r="C220" s="16">
        <v>25689</v>
      </c>
      <c r="D220" s="15" t="s">
        <v>249</v>
      </c>
      <c r="E220" s="9">
        <v>0</v>
      </c>
      <c r="F220" s="9">
        <v>485550</v>
      </c>
      <c r="G220" s="9">
        <v>0</v>
      </c>
      <c r="H220" s="9">
        <v>0</v>
      </c>
      <c r="I220" s="9">
        <v>3966300</v>
      </c>
      <c r="J220" s="10">
        <v>291408</v>
      </c>
      <c r="K220" s="9">
        <v>0</v>
      </c>
      <c r="L220" s="9">
        <v>258960</v>
      </c>
      <c r="M220" s="9">
        <v>719406</v>
      </c>
      <c r="N220" s="9">
        <v>0</v>
      </c>
      <c r="O220" s="9">
        <v>0</v>
      </c>
      <c r="P220" s="9">
        <v>0</v>
      </c>
      <c r="Q220" s="9">
        <v>5721624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11">
        <v>0</v>
      </c>
      <c r="AE220" s="17">
        <v>0</v>
      </c>
    </row>
    <row r="221" spans="1:31" ht="11.85" customHeight="1" x14ac:dyDescent="0.2">
      <c r="A221" s="23">
        <v>220</v>
      </c>
      <c r="B221" s="13">
        <v>32572</v>
      </c>
      <c r="C221" s="13">
        <v>25651</v>
      </c>
      <c r="D221" s="12" t="s">
        <v>250</v>
      </c>
      <c r="E221" s="9">
        <v>0</v>
      </c>
      <c r="F221" s="9">
        <v>150000</v>
      </c>
      <c r="G221" s="9">
        <v>0</v>
      </c>
      <c r="H221" s="9">
        <v>0</v>
      </c>
      <c r="I221" s="9">
        <v>0</v>
      </c>
      <c r="J221" s="10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150000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14507.02507</v>
      </c>
      <c r="AA221" s="8">
        <v>0</v>
      </c>
      <c r="AB221" s="8">
        <v>0</v>
      </c>
      <c r="AC221" s="8">
        <v>0</v>
      </c>
      <c r="AD221" s="11">
        <v>14507.02507</v>
      </c>
      <c r="AE221" s="14">
        <v>9.6713500466666671E-2</v>
      </c>
    </row>
    <row r="222" spans="1:31" ht="11.85" customHeight="1" x14ac:dyDescent="0.2">
      <c r="A222" s="23">
        <v>221</v>
      </c>
      <c r="B222" s="16">
        <v>32597</v>
      </c>
      <c r="C222" s="16">
        <v>25681</v>
      </c>
      <c r="D222" s="15" t="s">
        <v>251</v>
      </c>
      <c r="E222" s="9">
        <v>0</v>
      </c>
      <c r="F222" s="9">
        <v>4202062</v>
      </c>
      <c r="G222" s="9">
        <v>8404187</v>
      </c>
      <c r="H222" s="9">
        <v>0</v>
      </c>
      <c r="I222" s="9">
        <v>26263125</v>
      </c>
      <c r="J222" s="10">
        <v>8404187</v>
      </c>
      <c r="K222" s="9">
        <v>0</v>
      </c>
      <c r="L222" s="9">
        <v>0</v>
      </c>
      <c r="M222" s="9">
        <v>33078125</v>
      </c>
      <c r="N222" s="9">
        <v>0</v>
      </c>
      <c r="O222" s="9">
        <v>0</v>
      </c>
      <c r="P222" s="9">
        <v>0</v>
      </c>
      <c r="Q222" s="9">
        <v>80351686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7490868.8822799996</v>
      </c>
      <c r="AA222" s="8">
        <v>0</v>
      </c>
      <c r="AB222" s="8">
        <v>0</v>
      </c>
      <c r="AC222" s="8">
        <v>0</v>
      </c>
      <c r="AD222" s="11">
        <v>7490868.8822799996</v>
      </c>
      <c r="AE222" s="14">
        <v>9.3226032398125408E-2</v>
      </c>
    </row>
    <row r="223" spans="1:31" ht="11.85" customHeight="1" x14ac:dyDescent="0.2">
      <c r="A223" s="23">
        <v>222</v>
      </c>
      <c r="B223" s="13">
        <v>32605</v>
      </c>
      <c r="C223" s="13">
        <v>25679</v>
      </c>
      <c r="D223" s="12" t="s">
        <v>252</v>
      </c>
      <c r="E223" s="9">
        <v>0</v>
      </c>
      <c r="F223" s="9">
        <v>1100000</v>
      </c>
      <c r="G223" s="9">
        <v>300000</v>
      </c>
      <c r="H223" s="9">
        <v>0</v>
      </c>
      <c r="I223" s="9">
        <v>0</v>
      </c>
      <c r="J223" s="10">
        <v>30195428</v>
      </c>
      <c r="K223" s="9">
        <v>0</v>
      </c>
      <c r="L223" s="9">
        <v>0</v>
      </c>
      <c r="M223" s="9">
        <v>0</v>
      </c>
      <c r="N223" s="9">
        <v>2819850</v>
      </c>
      <c r="O223" s="9">
        <v>0</v>
      </c>
      <c r="P223" s="9">
        <v>0</v>
      </c>
      <c r="Q223" s="9">
        <v>34415278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886503.07346999994</v>
      </c>
      <c r="AA223" s="8">
        <v>0</v>
      </c>
      <c r="AB223" s="8">
        <v>0</v>
      </c>
      <c r="AC223" s="8">
        <v>0</v>
      </c>
      <c r="AD223" s="11">
        <v>886503.07346999994</v>
      </c>
      <c r="AE223" s="14">
        <v>2.8057954254330716E-2</v>
      </c>
    </row>
    <row r="224" spans="1:31" ht="11.85" customHeight="1" x14ac:dyDescent="0.2">
      <c r="A224" s="23">
        <v>223</v>
      </c>
      <c r="B224" s="13">
        <v>32603</v>
      </c>
      <c r="C224" s="13">
        <v>25690</v>
      </c>
      <c r="D224" s="12" t="s">
        <v>253</v>
      </c>
      <c r="E224" s="9">
        <v>0</v>
      </c>
      <c r="F224" s="9">
        <v>200000</v>
      </c>
      <c r="G224" s="9">
        <v>0</v>
      </c>
      <c r="H224" s="9">
        <v>0</v>
      </c>
      <c r="I224" s="9">
        <v>0</v>
      </c>
      <c r="J224" s="10">
        <v>0</v>
      </c>
      <c r="K224" s="9">
        <v>0</v>
      </c>
      <c r="L224" s="9">
        <v>0</v>
      </c>
      <c r="M224" s="9">
        <v>0</v>
      </c>
      <c r="N224" s="9">
        <v>3278000</v>
      </c>
      <c r="O224" s="9">
        <v>0</v>
      </c>
      <c r="P224" s="9">
        <v>0</v>
      </c>
      <c r="Q224" s="9">
        <v>3478000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11">
        <v>0</v>
      </c>
      <c r="AE224" s="17">
        <v>0</v>
      </c>
    </row>
    <row r="225" spans="1:31" ht="11.85" customHeight="1" x14ac:dyDescent="0.2">
      <c r="A225" s="23">
        <v>224</v>
      </c>
      <c r="B225" s="13">
        <v>32611</v>
      </c>
      <c r="C225" s="13">
        <v>25661</v>
      </c>
      <c r="D225" s="12" t="s">
        <v>254</v>
      </c>
      <c r="E225" s="9">
        <v>0</v>
      </c>
      <c r="F225" s="9">
        <v>1047370</v>
      </c>
      <c r="G225" s="9">
        <v>0</v>
      </c>
      <c r="H225" s="9">
        <v>3752049</v>
      </c>
      <c r="I225" s="9">
        <v>4682360</v>
      </c>
      <c r="J225" s="10">
        <v>0</v>
      </c>
      <c r="K225" s="9">
        <v>0</v>
      </c>
      <c r="L225" s="9">
        <v>0</v>
      </c>
      <c r="M225" s="9">
        <v>739320</v>
      </c>
      <c r="N225" s="9">
        <v>0</v>
      </c>
      <c r="O225" s="9">
        <v>0</v>
      </c>
      <c r="P225" s="9">
        <v>0</v>
      </c>
      <c r="Q225" s="9">
        <v>10221099</v>
      </c>
      <c r="R225" s="8">
        <v>0</v>
      </c>
      <c r="S225" s="8">
        <v>0</v>
      </c>
      <c r="T225" s="8">
        <v>0</v>
      </c>
      <c r="U225" s="8">
        <v>2151028</v>
      </c>
      <c r="V225" s="8">
        <v>1614135.99</v>
      </c>
      <c r="W225" s="8">
        <v>0</v>
      </c>
      <c r="X225" s="8">
        <v>0</v>
      </c>
      <c r="Y225" s="8">
        <v>5184664</v>
      </c>
      <c r="Z225" s="8">
        <v>223306.29917000001</v>
      </c>
      <c r="AA225" s="8">
        <v>0</v>
      </c>
      <c r="AB225" s="8">
        <v>0</v>
      </c>
      <c r="AC225" s="8">
        <v>0</v>
      </c>
      <c r="AD225" s="11">
        <v>9173134.2891700007</v>
      </c>
      <c r="AE225" s="18">
        <v>0.89747044707912538</v>
      </c>
    </row>
    <row r="226" spans="1:31" ht="11.85" customHeight="1" x14ac:dyDescent="0.2">
      <c r="A226" s="23">
        <v>225</v>
      </c>
      <c r="B226" s="16">
        <v>32623</v>
      </c>
      <c r="C226" s="16">
        <v>25670</v>
      </c>
      <c r="D226" s="15" t="s">
        <v>255</v>
      </c>
      <c r="E226" s="9">
        <v>0</v>
      </c>
      <c r="F226" s="9">
        <v>494500</v>
      </c>
      <c r="G226" s="9">
        <v>0</v>
      </c>
      <c r="H226" s="9">
        <v>0</v>
      </c>
      <c r="I226" s="9">
        <v>3292948</v>
      </c>
      <c r="J226" s="10">
        <v>559544</v>
      </c>
      <c r="K226" s="9">
        <v>0</v>
      </c>
      <c r="L226" s="9">
        <v>0</v>
      </c>
      <c r="M226" s="9">
        <v>2696220</v>
      </c>
      <c r="N226" s="9">
        <v>0</v>
      </c>
      <c r="O226" s="9">
        <v>0</v>
      </c>
      <c r="P226" s="9">
        <v>0</v>
      </c>
      <c r="Q226" s="9">
        <v>7043212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706953.72028000001</v>
      </c>
      <c r="AA226" s="8">
        <v>0</v>
      </c>
      <c r="AB226" s="8">
        <v>0</v>
      </c>
      <c r="AC226" s="8">
        <v>0</v>
      </c>
      <c r="AD226" s="11">
        <v>706953.72028000001</v>
      </c>
      <c r="AE226" s="14">
        <v>0.10037376700857506</v>
      </c>
    </row>
    <row r="227" spans="1:31" ht="11.85" customHeight="1" x14ac:dyDescent="0.2">
      <c r="A227" s="23">
        <v>226</v>
      </c>
      <c r="B227" s="13">
        <v>32622</v>
      </c>
      <c r="C227" s="13">
        <v>25727</v>
      </c>
      <c r="D227" s="12" t="s">
        <v>256</v>
      </c>
      <c r="E227" s="9">
        <v>0</v>
      </c>
      <c r="F227" s="9">
        <v>1050000</v>
      </c>
      <c r="G227" s="9">
        <v>0</v>
      </c>
      <c r="H227" s="9">
        <v>0</v>
      </c>
      <c r="I227" s="9">
        <v>5567900</v>
      </c>
      <c r="J227" s="10">
        <v>1618974</v>
      </c>
      <c r="K227" s="9">
        <v>0</v>
      </c>
      <c r="L227" s="9">
        <v>0</v>
      </c>
      <c r="M227" s="9">
        <v>9047000</v>
      </c>
      <c r="N227" s="9">
        <v>0</v>
      </c>
      <c r="O227" s="9">
        <v>0</v>
      </c>
      <c r="P227" s="9">
        <v>0</v>
      </c>
      <c r="Q227" s="9">
        <v>17283874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11">
        <v>0</v>
      </c>
      <c r="AE227" s="17">
        <v>0</v>
      </c>
    </row>
    <row r="228" spans="1:31" ht="11.85" customHeight="1" x14ac:dyDescent="0.2">
      <c r="A228" s="23">
        <v>227</v>
      </c>
      <c r="B228" s="16">
        <v>32655</v>
      </c>
      <c r="C228" s="16">
        <v>25685</v>
      </c>
      <c r="D228" s="15" t="s">
        <v>257</v>
      </c>
      <c r="E228" s="9">
        <v>936096</v>
      </c>
      <c r="F228" s="9">
        <v>350000</v>
      </c>
      <c r="G228" s="9">
        <v>0</v>
      </c>
      <c r="H228" s="9">
        <v>0</v>
      </c>
      <c r="I228" s="9">
        <v>500000</v>
      </c>
      <c r="J228" s="10">
        <v>0</v>
      </c>
      <c r="K228" s="9">
        <v>0</v>
      </c>
      <c r="L228" s="9">
        <v>0</v>
      </c>
      <c r="M228" s="9">
        <v>498000</v>
      </c>
      <c r="N228" s="9">
        <v>0</v>
      </c>
      <c r="O228" s="9">
        <v>0</v>
      </c>
      <c r="P228" s="9">
        <v>0</v>
      </c>
      <c r="Q228" s="9">
        <v>2284096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11">
        <v>0</v>
      </c>
      <c r="AE228" s="17">
        <v>0</v>
      </c>
    </row>
    <row r="229" spans="1:31" ht="11.85" customHeight="1" x14ac:dyDescent="0.2">
      <c r="A229" s="23">
        <v>228</v>
      </c>
      <c r="B229" s="16">
        <v>32672</v>
      </c>
      <c r="C229" s="16">
        <v>25678</v>
      </c>
      <c r="D229" s="15" t="s">
        <v>258</v>
      </c>
      <c r="E229" s="9">
        <v>1208814</v>
      </c>
      <c r="F229" s="9">
        <v>330770</v>
      </c>
      <c r="G229" s="9">
        <v>0</v>
      </c>
      <c r="H229" s="9">
        <v>0</v>
      </c>
      <c r="I229" s="9">
        <v>1353150</v>
      </c>
      <c r="J229" s="10">
        <v>180420</v>
      </c>
      <c r="K229" s="9">
        <v>0</v>
      </c>
      <c r="L229" s="9">
        <v>0</v>
      </c>
      <c r="M229" s="9">
        <v>986296</v>
      </c>
      <c r="N229" s="9">
        <v>733708</v>
      </c>
      <c r="O229" s="9">
        <v>0</v>
      </c>
      <c r="P229" s="9">
        <v>0</v>
      </c>
      <c r="Q229" s="9">
        <v>4793158</v>
      </c>
      <c r="R229" s="8">
        <v>0</v>
      </c>
      <c r="S229" s="8">
        <v>0</v>
      </c>
      <c r="T229" s="8">
        <v>0</v>
      </c>
      <c r="U229" s="8">
        <v>0</v>
      </c>
      <c r="V229" s="8">
        <v>4702719.4000000004</v>
      </c>
      <c r="W229" s="8">
        <v>0</v>
      </c>
      <c r="X229" s="8">
        <v>0</v>
      </c>
      <c r="Y229" s="8">
        <v>2200000</v>
      </c>
      <c r="Z229" s="8">
        <v>237341.58265999999</v>
      </c>
      <c r="AA229" s="8">
        <v>0</v>
      </c>
      <c r="AB229" s="8">
        <v>0</v>
      </c>
      <c r="AC229" s="8">
        <v>0</v>
      </c>
      <c r="AD229" s="11">
        <v>7140060.9826600002</v>
      </c>
      <c r="AE229" s="19">
        <v>1.7588739811205951</v>
      </c>
    </row>
    <row r="230" spans="1:31" ht="11.85" customHeight="1" x14ac:dyDescent="0.2">
      <c r="A230" s="23">
        <v>229</v>
      </c>
      <c r="B230" s="13">
        <v>32692</v>
      </c>
      <c r="C230" s="13">
        <v>25709</v>
      </c>
      <c r="D230" s="12" t="s">
        <v>259</v>
      </c>
      <c r="E230" s="9">
        <v>0</v>
      </c>
      <c r="F230" s="9">
        <v>6000000</v>
      </c>
      <c r="G230" s="9">
        <v>0</v>
      </c>
      <c r="H230" s="9">
        <v>0</v>
      </c>
      <c r="I230" s="9">
        <v>45517089</v>
      </c>
      <c r="J230" s="10">
        <v>14144344</v>
      </c>
      <c r="K230" s="9">
        <v>0</v>
      </c>
      <c r="L230" s="9">
        <v>0</v>
      </c>
      <c r="M230" s="9">
        <v>17057074</v>
      </c>
      <c r="N230" s="9">
        <v>0</v>
      </c>
      <c r="O230" s="9">
        <v>0</v>
      </c>
      <c r="P230" s="9">
        <v>0</v>
      </c>
      <c r="Q230" s="9">
        <v>82718507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11">
        <v>0</v>
      </c>
      <c r="AE230" s="17">
        <v>0</v>
      </c>
    </row>
    <row r="231" spans="1:31" ht="11.85" customHeight="1" x14ac:dyDescent="0.2">
      <c r="A231" s="23">
        <v>230</v>
      </c>
      <c r="B231" s="16">
        <v>32693</v>
      </c>
      <c r="C231" s="16">
        <v>25710</v>
      </c>
      <c r="D231" s="15" t="s">
        <v>260</v>
      </c>
      <c r="E231" s="9">
        <v>0</v>
      </c>
      <c r="F231" s="9">
        <v>6000000</v>
      </c>
      <c r="G231" s="9">
        <v>0</v>
      </c>
      <c r="H231" s="9">
        <v>0</v>
      </c>
      <c r="I231" s="9">
        <v>45517089</v>
      </c>
      <c r="J231" s="10">
        <v>14144344</v>
      </c>
      <c r="K231" s="9">
        <v>0</v>
      </c>
      <c r="L231" s="9">
        <v>0</v>
      </c>
      <c r="M231" s="9">
        <v>17057074</v>
      </c>
      <c r="N231" s="9">
        <v>0</v>
      </c>
      <c r="O231" s="9">
        <v>0</v>
      </c>
      <c r="P231" s="9">
        <v>0</v>
      </c>
      <c r="Q231" s="9">
        <v>82718507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11">
        <v>0</v>
      </c>
      <c r="AE231" s="17">
        <v>0</v>
      </c>
    </row>
    <row r="232" spans="1:31" ht="11.85" customHeight="1" x14ac:dyDescent="0.2">
      <c r="A232" s="23">
        <v>231</v>
      </c>
      <c r="B232" s="13">
        <v>32698</v>
      </c>
      <c r="C232" s="13">
        <v>25712</v>
      </c>
      <c r="D232" s="12" t="s">
        <v>261</v>
      </c>
      <c r="E232" s="9">
        <v>0</v>
      </c>
      <c r="F232" s="9">
        <v>400000</v>
      </c>
      <c r="G232" s="9">
        <v>0</v>
      </c>
      <c r="H232" s="9">
        <v>0</v>
      </c>
      <c r="I232" s="9">
        <v>24300000</v>
      </c>
      <c r="J232" s="10">
        <v>800000</v>
      </c>
      <c r="K232" s="9">
        <v>0</v>
      </c>
      <c r="L232" s="9">
        <v>400000</v>
      </c>
      <c r="M232" s="9">
        <v>3803945</v>
      </c>
      <c r="N232" s="9">
        <v>0</v>
      </c>
      <c r="O232" s="9">
        <v>0</v>
      </c>
      <c r="P232" s="9">
        <v>0</v>
      </c>
      <c r="Q232" s="9">
        <v>29703945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996364</v>
      </c>
      <c r="Z232" s="8">
        <v>0</v>
      </c>
      <c r="AA232" s="8">
        <v>0</v>
      </c>
      <c r="AB232" s="8">
        <v>0</v>
      </c>
      <c r="AC232" s="8">
        <v>0</v>
      </c>
      <c r="AD232" s="11">
        <v>996364</v>
      </c>
      <c r="AE232" s="14">
        <v>3.3543153948069858E-2</v>
      </c>
    </row>
    <row r="233" spans="1:31" ht="11.85" customHeight="1" x14ac:dyDescent="0.2">
      <c r="A233" s="23">
        <v>232</v>
      </c>
      <c r="B233" s="13">
        <v>32704</v>
      </c>
      <c r="C233" s="13">
        <v>25683</v>
      </c>
      <c r="D233" s="12" t="s">
        <v>262</v>
      </c>
      <c r="E233" s="9">
        <v>0</v>
      </c>
      <c r="F233" s="9">
        <v>5397878</v>
      </c>
      <c r="G233" s="9">
        <v>0</v>
      </c>
      <c r="H233" s="9">
        <v>0</v>
      </c>
      <c r="I233" s="9">
        <v>3378182</v>
      </c>
      <c r="J233" s="10">
        <v>0</v>
      </c>
      <c r="K233" s="9">
        <v>0</v>
      </c>
      <c r="L233" s="9">
        <v>0</v>
      </c>
      <c r="M233" s="9">
        <v>1136079</v>
      </c>
      <c r="N233" s="9">
        <v>0</v>
      </c>
      <c r="O233" s="9">
        <v>0</v>
      </c>
      <c r="P233" s="9">
        <v>0</v>
      </c>
      <c r="Q233" s="9">
        <v>9912139</v>
      </c>
      <c r="R233" s="8">
        <v>0</v>
      </c>
      <c r="S233" s="8">
        <v>0</v>
      </c>
      <c r="T233" s="8">
        <v>0</v>
      </c>
      <c r="U233" s="8">
        <v>0</v>
      </c>
      <c r="V233" s="8">
        <v>248106.6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11">
        <v>248106.6</v>
      </c>
      <c r="AE233" s="14">
        <v>2.5030581189388085E-2</v>
      </c>
    </row>
    <row r="234" spans="1:31" ht="11.85" customHeight="1" x14ac:dyDescent="0.2">
      <c r="A234" s="23">
        <v>233</v>
      </c>
      <c r="B234" s="16">
        <v>32717</v>
      </c>
      <c r="C234" s="16">
        <v>25693</v>
      </c>
      <c r="D234" s="15" t="s">
        <v>263</v>
      </c>
      <c r="E234" s="9">
        <v>0</v>
      </c>
      <c r="F234" s="9">
        <v>6705600</v>
      </c>
      <c r="G234" s="9">
        <v>6096000</v>
      </c>
      <c r="H234" s="9">
        <v>0</v>
      </c>
      <c r="I234" s="9">
        <v>8307629</v>
      </c>
      <c r="J234" s="10">
        <v>2491069</v>
      </c>
      <c r="K234" s="9">
        <v>0</v>
      </c>
      <c r="L234" s="9">
        <v>17446021</v>
      </c>
      <c r="M234" s="9">
        <v>17119580</v>
      </c>
      <c r="N234" s="9">
        <v>12524781</v>
      </c>
      <c r="O234" s="9">
        <v>0</v>
      </c>
      <c r="P234" s="9">
        <v>0</v>
      </c>
      <c r="Q234" s="9">
        <v>70690680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11">
        <v>0</v>
      </c>
      <c r="AE234" s="17">
        <v>0</v>
      </c>
    </row>
    <row r="235" spans="1:31" ht="11.85" customHeight="1" x14ac:dyDescent="0.2">
      <c r="A235" s="23">
        <v>234</v>
      </c>
      <c r="B235" s="13">
        <v>32726</v>
      </c>
      <c r="C235" s="13">
        <v>25722</v>
      </c>
      <c r="D235" s="12" t="s">
        <v>264</v>
      </c>
      <c r="E235" s="9">
        <v>0</v>
      </c>
      <c r="F235" s="9">
        <v>624000</v>
      </c>
      <c r="G235" s="9">
        <v>1834677</v>
      </c>
      <c r="H235" s="9">
        <v>0</v>
      </c>
      <c r="I235" s="9">
        <v>2730000</v>
      </c>
      <c r="J235" s="10">
        <v>468000</v>
      </c>
      <c r="K235" s="9">
        <v>0</v>
      </c>
      <c r="L235" s="9">
        <v>156000</v>
      </c>
      <c r="M235" s="9">
        <v>1197017</v>
      </c>
      <c r="N235" s="9">
        <v>0</v>
      </c>
      <c r="O235" s="9">
        <v>0</v>
      </c>
      <c r="P235" s="9">
        <v>0</v>
      </c>
      <c r="Q235" s="9">
        <v>7009694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11">
        <v>0</v>
      </c>
      <c r="AE235" s="17">
        <v>0</v>
      </c>
    </row>
    <row r="236" spans="1:31" ht="11.85" customHeight="1" x14ac:dyDescent="0.2">
      <c r="A236" s="23">
        <v>235</v>
      </c>
      <c r="B236" s="16">
        <v>32740</v>
      </c>
      <c r="C236" s="16">
        <v>25695</v>
      </c>
      <c r="D236" s="15" t="s">
        <v>265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10">
        <v>0</v>
      </c>
      <c r="K236" s="9">
        <v>0</v>
      </c>
      <c r="L236" s="9">
        <v>0</v>
      </c>
      <c r="M236" s="9">
        <v>12925715</v>
      </c>
      <c r="N236" s="9">
        <v>0</v>
      </c>
      <c r="O236" s="9">
        <v>0</v>
      </c>
      <c r="P236" s="9">
        <v>0</v>
      </c>
      <c r="Q236" s="9">
        <v>12925715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11">
        <v>0</v>
      </c>
      <c r="AE236" s="17">
        <v>0</v>
      </c>
    </row>
    <row r="237" spans="1:31" ht="11.85" customHeight="1" x14ac:dyDescent="0.2">
      <c r="A237" s="23">
        <v>236</v>
      </c>
      <c r="B237" s="13">
        <v>32743</v>
      </c>
      <c r="C237" s="13">
        <v>25708</v>
      </c>
      <c r="D237" s="12" t="s">
        <v>266</v>
      </c>
      <c r="E237" s="9">
        <v>75460500</v>
      </c>
      <c r="F237" s="9">
        <v>27675000</v>
      </c>
      <c r="G237" s="9">
        <v>33825000</v>
      </c>
      <c r="H237" s="9">
        <v>43050000</v>
      </c>
      <c r="I237" s="9">
        <v>74576868</v>
      </c>
      <c r="J237" s="10">
        <v>14351394</v>
      </c>
      <c r="K237" s="9">
        <v>8427591</v>
      </c>
      <c r="L237" s="9">
        <v>39265352</v>
      </c>
      <c r="M237" s="9">
        <v>105900233</v>
      </c>
      <c r="N237" s="9">
        <v>16561950</v>
      </c>
      <c r="O237" s="9">
        <v>0</v>
      </c>
      <c r="P237" s="9">
        <v>0</v>
      </c>
      <c r="Q237" s="9">
        <v>439093888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11">
        <v>0</v>
      </c>
      <c r="AE237" s="17">
        <v>0</v>
      </c>
    </row>
    <row r="238" spans="1:31" ht="11.85" customHeight="1" x14ac:dyDescent="0.2">
      <c r="A238" s="23">
        <v>237</v>
      </c>
      <c r="B238" s="16">
        <v>32737</v>
      </c>
      <c r="C238" s="28">
        <v>25560</v>
      </c>
      <c r="D238" s="15" t="s">
        <v>267</v>
      </c>
      <c r="E238" s="9">
        <v>2378000</v>
      </c>
      <c r="F238" s="9">
        <v>3420000</v>
      </c>
      <c r="G238" s="9">
        <v>8300000</v>
      </c>
      <c r="H238" s="9">
        <v>0</v>
      </c>
      <c r="I238" s="9">
        <v>40507000</v>
      </c>
      <c r="J238" s="10">
        <v>6011000</v>
      </c>
      <c r="K238" s="9">
        <v>0</v>
      </c>
      <c r="L238" s="9">
        <v>1242000</v>
      </c>
      <c r="M238" s="9">
        <v>29684000</v>
      </c>
      <c r="N238" s="9">
        <v>6214000</v>
      </c>
      <c r="O238" s="9">
        <v>5361000</v>
      </c>
      <c r="P238" s="9">
        <v>0</v>
      </c>
      <c r="Q238" s="9">
        <v>103117000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11">
        <v>0</v>
      </c>
      <c r="AE238" s="17">
        <v>0</v>
      </c>
    </row>
    <row r="239" spans="1:31" ht="11.85" customHeight="1" x14ac:dyDescent="0.2">
      <c r="A239" s="23">
        <v>238</v>
      </c>
      <c r="B239" s="13">
        <v>32746</v>
      </c>
      <c r="C239" s="13">
        <v>25697</v>
      </c>
      <c r="D239" s="12" t="s">
        <v>268</v>
      </c>
      <c r="E239" s="9">
        <v>0</v>
      </c>
      <c r="F239" s="9">
        <v>2133600</v>
      </c>
      <c r="G239" s="9">
        <v>0</v>
      </c>
      <c r="H239" s="9">
        <v>0</v>
      </c>
      <c r="I239" s="9">
        <v>33528000</v>
      </c>
      <c r="J239" s="10">
        <v>4572000</v>
      </c>
      <c r="K239" s="9">
        <v>0</v>
      </c>
      <c r="L239" s="9">
        <v>0</v>
      </c>
      <c r="M239" s="9">
        <v>16477488</v>
      </c>
      <c r="N239" s="9">
        <v>0</v>
      </c>
      <c r="O239" s="9">
        <v>0</v>
      </c>
      <c r="P239" s="9">
        <v>0</v>
      </c>
      <c r="Q239" s="9">
        <v>56711088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11">
        <v>0</v>
      </c>
      <c r="AE239" s="17">
        <v>0</v>
      </c>
    </row>
    <row r="240" spans="1:31" ht="11.85" customHeight="1" x14ac:dyDescent="0.2">
      <c r="A240" s="23">
        <v>239</v>
      </c>
      <c r="B240" s="13">
        <v>32759</v>
      </c>
      <c r="C240" s="13">
        <v>25701</v>
      </c>
      <c r="D240" s="12" t="s">
        <v>269</v>
      </c>
      <c r="E240" s="9">
        <v>0</v>
      </c>
      <c r="F240" s="9">
        <v>0</v>
      </c>
      <c r="G240" s="9">
        <v>0</v>
      </c>
      <c r="H240" s="9">
        <v>0</v>
      </c>
      <c r="I240" s="9">
        <v>1316736</v>
      </c>
      <c r="J240" s="10">
        <v>0</v>
      </c>
      <c r="K240" s="9">
        <v>0</v>
      </c>
      <c r="L240" s="9">
        <v>0</v>
      </c>
      <c r="M240" s="9">
        <v>213665</v>
      </c>
      <c r="N240" s="9">
        <v>0</v>
      </c>
      <c r="O240" s="9">
        <v>0</v>
      </c>
      <c r="P240" s="9">
        <v>0</v>
      </c>
      <c r="Q240" s="9">
        <v>1530401</v>
      </c>
      <c r="R240" s="8">
        <v>0</v>
      </c>
      <c r="S240" s="8">
        <v>0</v>
      </c>
      <c r="T240" s="8">
        <v>0</v>
      </c>
      <c r="U240" s="8">
        <v>0</v>
      </c>
      <c r="V240" s="8">
        <v>2114964.9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11">
        <v>2114964.9</v>
      </c>
      <c r="AE240" s="19">
        <v>1.381967797982359</v>
      </c>
    </row>
    <row r="241" spans="1:32" ht="11.85" customHeight="1" x14ac:dyDescent="0.2">
      <c r="A241" s="23">
        <v>240</v>
      </c>
      <c r="B241" s="16">
        <v>32758</v>
      </c>
      <c r="C241" s="16">
        <v>25700</v>
      </c>
      <c r="D241" s="15" t="s">
        <v>270</v>
      </c>
      <c r="E241" s="9">
        <v>0</v>
      </c>
      <c r="F241" s="9">
        <v>658368</v>
      </c>
      <c r="G241" s="9">
        <v>0</v>
      </c>
      <c r="H241" s="9">
        <v>0</v>
      </c>
      <c r="I241" s="9">
        <v>0</v>
      </c>
      <c r="J241" s="10">
        <v>0</v>
      </c>
      <c r="K241" s="9">
        <v>0</v>
      </c>
      <c r="L241" s="9">
        <v>0</v>
      </c>
      <c r="M241" s="9">
        <v>1536192</v>
      </c>
      <c r="N241" s="9">
        <v>0</v>
      </c>
      <c r="O241" s="9">
        <v>0</v>
      </c>
      <c r="P241" s="9">
        <v>0</v>
      </c>
      <c r="Q241" s="9">
        <v>2194560</v>
      </c>
      <c r="R241" s="8">
        <v>0</v>
      </c>
      <c r="S241" s="8">
        <v>399000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11">
        <v>399000</v>
      </c>
      <c r="AE241" s="14">
        <v>0.18181321084864394</v>
      </c>
    </row>
    <row r="242" spans="1:32" ht="11.85" customHeight="1" x14ac:dyDescent="0.2">
      <c r="A242" s="23">
        <v>241</v>
      </c>
      <c r="B242" s="16">
        <v>32777</v>
      </c>
      <c r="C242" s="16">
        <v>25719</v>
      </c>
      <c r="D242" s="15" t="s">
        <v>271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10">
        <v>0</v>
      </c>
      <c r="K242" s="9">
        <v>0</v>
      </c>
      <c r="L242" s="9">
        <v>0</v>
      </c>
      <c r="M242" s="9">
        <v>2390000</v>
      </c>
      <c r="N242" s="9">
        <v>12750000</v>
      </c>
      <c r="O242" s="9">
        <v>0</v>
      </c>
      <c r="P242" s="9">
        <v>0</v>
      </c>
      <c r="Q242" s="9">
        <v>15140000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11">
        <v>0</v>
      </c>
      <c r="AE242" s="17">
        <v>0</v>
      </c>
    </row>
    <row r="243" spans="1:32" ht="11.85" customHeight="1" x14ac:dyDescent="0.2">
      <c r="A243" s="23">
        <v>242</v>
      </c>
      <c r="B243" s="13">
        <v>32809</v>
      </c>
      <c r="C243" s="29">
        <v>25730</v>
      </c>
      <c r="D243" s="12" t="s">
        <v>272</v>
      </c>
      <c r="E243" s="9">
        <v>0</v>
      </c>
      <c r="F243" s="9">
        <v>365760</v>
      </c>
      <c r="G243" s="9">
        <v>0</v>
      </c>
      <c r="H243" s="9">
        <v>0</v>
      </c>
      <c r="I243" s="9">
        <v>13447776</v>
      </c>
      <c r="J243" s="10">
        <v>152400</v>
      </c>
      <c r="K243" s="9">
        <v>0</v>
      </c>
      <c r="L243" s="9">
        <v>0</v>
      </c>
      <c r="M243" s="9">
        <v>3452287</v>
      </c>
      <c r="N243" s="9">
        <v>10344912</v>
      </c>
      <c r="O243" s="9">
        <v>0</v>
      </c>
      <c r="P243" s="9">
        <v>0</v>
      </c>
      <c r="Q243" s="9">
        <v>27763135</v>
      </c>
      <c r="R243" s="8">
        <v>0</v>
      </c>
      <c r="S243" s="8">
        <v>0</v>
      </c>
      <c r="T243" s="8">
        <v>0</v>
      </c>
      <c r="U243" s="8">
        <v>0</v>
      </c>
      <c r="V243" s="8">
        <v>213000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11">
        <v>213000</v>
      </c>
      <c r="AE243" s="14">
        <v>1.222857234058836E-2</v>
      </c>
    </row>
    <row r="244" spans="1:32" ht="11.85" customHeight="1" x14ac:dyDescent="0.2">
      <c r="A244" s="23">
        <v>243</v>
      </c>
      <c r="B244" s="13">
        <v>32815</v>
      </c>
      <c r="C244" s="13">
        <v>25725</v>
      </c>
      <c r="D244" s="12" t="s">
        <v>273</v>
      </c>
      <c r="E244" s="9">
        <v>0</v>
      </c>
      <c r="F244" s="9">
        <v>0</v>
      </c>
      <c r="G244" s="9">
        <v>0</v>
      </c>
      <c r="H244" s="9">
        <v>0</v>
      </c>
      <c r="I244" s="9">
        <v>12609667</v>
      </c>
      <c r="J244" s="10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12609667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11">
        <v>0</v>
      </c>
      <c r="AE244" s="17">
        <v>0</v>
      </c>
    </row>
    <row r="245" spans="1:32" x14ac:dyDescent="0.2">
      <c r="A245" s="23">
        <v>244</v>
      </c>
      <c r="B245" s="13">
        <v>28689</v>
      </c>
      <c r="C245" s="13">
        <v>24754</v>
      </c>
      <c r="D245" s="26" t="s">
        <v>274</v>
      </c>
      <c r="E245" s="9">
        <v>64780000</v>
      </c>
      <c r="F245" s="9">
        <v>3625016</v>
      </c>
      <c r="G245" s="9">
        <v>0</v>
      </c>
      <c r="H245" s="9">
        <v>0</v>
      </c>
      <c r="I245" s="9">
        <v>13000000</v>
      </c>
      <c r="J245" s="10">
        <v>2175000</v>
      </c>
      <c r="K245" s="9">
        <v>0</v>
      </c>
      <c r="L245" s="9">
        <v>1087500</v>
      </c>
      <c r="M245" s="9">
        <v>1087000</v>
      </c>
      <c r="N245" s="9">
        <v>1800000</v>
      </c>
      <c r="O245" s="9">
        <v>0</v>
      </c>
      <c r="P245" s="9">
        <v>0</v>
      </c>
      <c r="Q245" s="9">
        <v>87554516</v>
      </c>
      <c r="R245" s="8">
        <v>41032732</v>
      </c>
      <c r="S245" s="8">
        <v>1634500</v>
      </c>
      <c r="T245" s="8">
        <v>0</v>
      </c>
      <c r="U245" s="8">
        <v>0</v>
      </c>
      <c r="V245" s="8">
        <v>16900790</v>
      </c>
      <c r="W245" s="8">
        <v>10800306</v>
      </c>
      <c r="X245" s="8">
        <v>0</v>
      </c>
      <c r="Y245" s="8">
        <v>961040</v>
      </c>
      <c r="Z245" s="8">
        <v>2440528.79739</v>
      </c>
      <c r="AA245" s="8">
        <v>0</v>
      </c>
      <c r="AB245" s="8">
        <v>0</v>
      </c>
      <c r="AC245" s="8">
        <v>0</v>
      </c>
      <c r="AD245" s="11">
        <v>73769896.797389999</v>
      </c>
      <c r="AE245" s="18">
        <v>0.86</v>
      </c>
      <c r="AF245" s="24"/>
    </row>
    <row r="246" spans="1:32" x14ac:dyDescent="0.2">
      <c r="A246" s="23">
        <v>245</v>
      </c>
      <c r="B246" s="16">
        <v>29585</v>
      </c>
      <c r="C246" s="16">
        <v>24776</v>
      </c>
      <c r="D246" s="27" t="s">
        <v>275</v>
      </c>
      <c r="E246" s="9">
        <v>0</v>
      </c>
      <c r="F246" s="9">
        <v>2995380</v>
      </c>
      <c r="G246" s="9">
        <v>4474580</v>
      </c>
      <c r="H246" s="9">
        <v>0</v>
      </c>
      <c r="I246" s="9">
        <v>66564000</v>
      </c>
      <c r="J246" s="10">
        <v>5916800</v>
      </c>
      <c r="K246" s="9">
        <v>0</v>
      </c>
      <c r="L246" s="9">
        <v>2958400</v>
      </c>
      <c r="M246" s="9">
        <v>0</v>
      </c>
      <c r="N246" s="9">
        <v>17750400</v>
      </c>
      <c r="O246" s="9">
        <v>0</v>
      </c>
      <c r="P246" s="9">
        <v>0</v>
      </c>
      <c r="Q246" s="9">
        <v>100659560</v>
      </c>
      <c r="R246" s="8">
        <v>0</v>
      </c>
      <c r="S246" s="8">
        <v>1295500</v>
      </c>
      <c r="T246" s="8">
        <v>0</v>
      </c>
      <c r="U246" s="8">
        <v>0</v>
      </c>
      <c r="V246" s="8">
        <v>51605380</v>
      </c>
      <c r="W246" s="8">
        <v>3775676</v>
      </c>
      <c r="X246" s="8">
        <v>0</v>
      </c>
      <c r="Y246" s="8">
        <v>1279466</v>
      </c>
      <c r="Z246" s="8">
        <v>3487057.5402299999</v>
      </c>
      <c r="AA246" s="8">
        <v>0</v>
      </c>
      <c r="AB246" s="8">
        <v>0</v>
      </c>
      <c r="AC246" s="8">
        <v>0</v>
      </c>
      <c r="AD246" s="11">
        <v>61443079.540229999</v>
      </c>
      <c r="AE246" s="14">
        <v>0.74099999999999999</v>
      </c>
    </row>
    <row r="247" spans="1:32" x14ac:dyDescent="0.2">
      <c r="A247" s="23">
        <v>246</v>
      </c>
      <c r="B247" s="13">
        <v>28567</v>
      </c>
      <c r="C247" s="13">
        <v>24938</v>
      </c>
      <c r="D247" s="26" t="s">
        <v>276</v>
      </c>
      <c r="E247" s="9">
        <v>59967500</v>
      </c>
      <c r="F247" s="9">
        <v>8291177</v>
      </c>
      <c r="G247" s="9">
        <v>12436766</v>
      </c>
      <c r="H247" s="9">
        <v>0</v>
      </c>
      <c r="I247" s="9">
        <v>55274514</v>
      </c>
      <c r="J247" s="10">
        <v>5526887</v>
      </c>
      <c r="K247" s="9">
        <v>0</v>
      </c>
      <c r="L247" s="9">
        <v>13819122</v>
      </c>
      <c r="M247" s="9">
        <v>100285202</v>
      </c>
      <c r="N247" s="9">
        <v>0</v>
      </c>
      <c r="O247" s="9">
        <v>0</v>
      </c>
      <c r="P247" s="9">
        <v>0</v>
      </c>
      <c r="Q247" s="9">
        <v>255601168</v>
      </c>
      <c r="R247" s="8">
        <v>77223544</v>
      </c>
      <c r="S247" s="8">
        <v>18790499.5</v>
      </c>
      <c r="T247" s="8">
        <v>7911000</v>
      </c>
      <c r="U247" s="8">
        <v>0</v>
      </c>
      <c r="V247" s="8">
        <v>31906255</v>
      </c>
      <c r="W247" s="8">
        <v>13227142</v>
      </c>
      <c r="X247" s="8">
        <v>0</v>
      </c>
      <c r="Y247" s="8">
        <v>7571741.5</v>
      </c>
      <c r="Z247" s="8">
        <v>28290640.810479999</v>
      </c>
      <c r="AA247" s="8">
        <v>0</v>
      </c>
      <c r="AB247" s="8">
        <v>0</v>
      </c>
      <c r="AC247" s="8">
        <v>0</v>
      </c>
      <c r="AD247" s="11">
        <v>184920822.81048</v>
      </c>
      <c r="AE247" s="14">
        <v>0.72299999999999998</v>
      </c>
    </row>
    <row r="248" spans="1:32" x14ac:dyDescent="0.2">
      <c r="A248" s="23">
        <v>247</v>
      </c>
      <c r="B248" s="16">
        <v>29563</v>
      </c>
      <c r="C248" s="16">
        <v>24942</v>
      </c>
      <c r="D248" s="27" t="s">
        <v>277</v>
      </c>
      <c r="E248" s="9">
        <v>0</v>
      </c>
      <c r="F248" s="9">
        <v>1102908</v>
      </c>
      <c r="G248" s="9">
        <v>0</v>
      </c>
      <c r="H248" s="9">
        <v>0</v>
      </c>
      <c r="I248" s="9">
        <v>7352721</v>
      </c>
      <c r="J248" s="10">
        <v>735272</v>
      </c>
      <c r="K248" s="9">
        <v>0</v>
      </c>
      <c r="L248" s="9">
        <v>1838180</v>
      </c>
      <c r="M248" s="9">
        <v>13436106</v>
      </c>
      <c r="N248" s="9">
        <v>0</v>
      </c>
      <c r="O248" s="9">
        <v>0</v>
      </c>
      <c r="P248" s="9">
        <v>0</v>
      </c>
      <c r="Q248" s="9">
        <v>24465187</v>
      </c>
      <c r="R248" s="8">
        <v>0</v>
      </c>
      <c r="S248" s="8">
        <v>720000</v>
      </c>
      <c r="T248" s="8">
        <v>0</v>
      </c>
      <c r="U248" s="8">
        <v>0</v>
      </c>
      <c r="V248" s="8">
        <v>8763794</v>
      </c>
      <c r="W248" s="8">
        <v>370262.45299999998</v>
      </c>
      <c r="X248" s="8">
        <v>0</v>
      </c>
      <c r="Y248" s="8">
        <v>0</v>
      </c>
      <c r="Z248" s="8">
        <v>3790373.4899200001</v>
      </c>
      <c r="AA248" s="8">
        <v>0</v>
      </c>
      <c r="AB248" s="8">
        <v>0</v>
      </c>
      <c r="AC248" s="8">
        <v>0</v>
      </c>
      <c r="AD248" s="11">
        <v>13644429.942919999</v>
      </c>
      <c r="AE248" s="14">
        <v>0.55800000000000005</v>
      </c>
    </row>
    <row r="249" spans="1:32" x14ac:dyDescent="0.2">
      <c r="A249" s="23">
        <v>248</v>
      </c>
      <c r="B249" s="13">
        <v>30547</v>
      </c>
      <c r="C249" s="13">
        <v>25008</v>
      </c>
      <c r="D249" s="26" t="s">
        <v>278</v>
      </c>
      <c r="E249" s="9">
        <v>0</v>
      </c>
      <c r="F249" s="9">
        <v>15000000</v>
      </c>
      <c r="G249" s="9">
        <v>20000000</v>
      </c>
      <c r="H249" s="9">
        <v>0</v>
      </c>
      <c r="I249" s="9">
        <v>60000000</v>
      </c>
      <c r="J249" s="10">
        <v>2000000</v>
      </c>
      <c r="K249" s="9">
        <v>0</v>
      </c>
      <c r="L249" s="9">
        <v>10000000</v>
      </c>
      <c r="M249" s="9">
        <v>100000000</v>
      </c>
      <c r="N249" s="9">
        <v>0</v>
      </c>
      <c r="O249" s="9">
        <v>0</v>
      </c>
      <c r="P249" s="9">
        <v>0</v>
      </c>
      <c r="Q249" s="9">
        <v>207000000</v>
      </c>
      <c r="R249" s="8">
        <v>0</v>
      </c>
      <c r="S249" s="8">
        <v>75000</v>
      </c>
      <c r="T249" s="8">
        <v>52389999</v>
      </c>
      <c r="U249" s="8">
        <v>0</v>
      </c>
      <c r="V249" s="8">
        <v>195672121</v>
      </c>
      <c r="W249" s="8">
        <v>1686869.6577300001</v>
      </c>
      <c r="X249" s="8">
        <v>0</v>
      </c>
      <c r="Y249" s="8">
        <v>69365685</v>
      </c>
      <c r="Z249" s="8">
        <v>7457827.7219500002</v>
      </c>
      <c r="AA249" s="8">
        <v>0</v>
      </c>
      <c r="AB249" s="8">
        <v>0</v>
      </c>
      <c r="AC249" s="8">
        <v>0</v>
      </c>
      <c r="AD249" s="11">
        <v>326647502.37967998</v>
      </c>
      <c r="AE249" s="25">
        <v>1.5780000000000001</v>
      </c>
    </row>
    <row r="250" spans="1:32" x14ac:dyDescent="0.2">
      <c r="A250" s="23">
        <v>249</v>
      </c>
      <c r="B250" s="16">
        <v>30340</v>
      </c>
      <c r="C250" s="16">
        <v>25018</v>
      </c>
      <c r="D250" s="27" t="s">
        <v>279</v>
      </c>
      <c r="E250" s="9">
        <v>184359423</v>
      </c>
      <c r="F250" s="9">
        <v>9549163</v>
      </c>
      <c r="G250" s="9">
        <v>0</v>
      </c>
      <c r="H250" s="9">
        <v>0</v>
      </c>
      <c r="I250" s="9">
        <v>60728511</v>
      </c>
      <c r="J250" s="10">
        <v>7793500</v>
      </c>
      <c r="K250" s="9">
        <v>0</v>
      </c>
      <c r="L250" s="9">
        <v>10610213</v>
      </c>
      <c r="M250" s="9">
        <v>73861125</v>
      </c>
      <c r="N250" s="9">
        <v>0</v>
      </c>
      <c r="O250" s="9">
        <v>0</v>
      </c>
      <c r="P250" s="9">
        <v>0</v>
      </c>
      <c r="Q250" s="9">
        <v>346901935</v>
      </c>
      <c r="R250" s="8">
        <v>141164554.72999999</v>
      </c>
      <c r="S250" s="8">
        <v>17052500</v>
      </c>
      <c r="T250" s="8">
        <v>0</v>
      </c>
      <c r="U250" s="8">
        <v>0</v>
      </c>
      <c r="V250" s="8">
        <v>36654412</v>
      </c>
      <c r="W250" s="8">
        <v>6361032</v>
      </c>
      <c r="X250" s="8">
        <v>0</v>
      </c>
      <c r="Y250" s="8">
        <v>17327489</v>
      </c>
      <c r="Z250" s="8">
        <v>15456230.17522</v>
      </c>
      <c r="AA250" s="8">
        <v>0</v>
      </c>
      <c r="AB250" s="8">
        <v>0</v>
      </c>
      <c r="AC250" s="8">
        <v>0</v>
      </c>
      <c r="AD250" s="11">
        <v>234016217.90522</v>
      </c>
      <c r="AE250" s="14">
        <v>0.67500000000000004</v>
      </c>
    </row>
    <row r="251" spans="1:32" x14ac:dyDescent="0.2">
      <c r="A251" s="23">
        <v>250</v>
      </c>
      <c r="B251" s="13">
        <v>29995</v>
      </c>
      <c r="C251" s="29">
        <v>25034</v>
      </c>
      <c r="D251" s="26" t="s">
        <v>280</v>
      </c>
      <c r="E251" s="9">
        <v>349947613</v>
      </c>
      <c r="F251" s="9">
        <v>52912500</v>
      </c>
      <c r="G251" s="9">
        <v>0</v>
      </c>
      <c r="H251" s="9">
        <v>0</v>
      </c>
      <c r="I251" s="9">
        <v>141205825</v>
      </c>
      <c r="J251" s="10">
        <v>8818750</v>
      </c>
      <c r="K251" s="9">
        <v>0</v>
      </c>
      <c r="L251" s="9">
        <v>9524250</v>
      </c>
      <c r="M251" s="9">
        <v>110036835</v>
      </c>
      <c r="N251" s="9">
        <v>0</v>
      </c>
      <c r="O251" s="9">
        <v>0</v>
      </c>
      <c r="P251" s="9">
        <v>0</v>
      </c>
      <c r="Q251" s="9">
        <v>672445773</v>
      </c>
      <c r="R251" s="8">
        <v>153323214</v>
      </c>
      <c r="S251" s="8">
        <v>6921817.375</v>
      </c>
      <c r="T251" s="8">
        <v>0</v>
      </c>
      <c r="U251" s="8">
        <v>8144248</v>
      </c>
      <c r="V251" s="8">
        <v>29794801.75</v>
      </c>
      <c r="W251" s="8">
        <v>0</v>
      </c>
      <c r="X251" s="8">
        <v>0</v>
      </c>
      <c r="Y251" s="8">
        <v>13132625.4</v>
      </c>
      <c r="Z251" s="8">
        <v>24005434.12937</v>
      </c>
      <c r="AA251" s="8">
        <v>0</v>
      </c>
      <c r="AB251" s="8">
        <v>0</v>
      </c>
      <c r="AC251" s="8">
        <v>0</v>
      </c>
      <c r="AD251" s="11">
        <v>235322140.65437001</v>
      </c>
      <c r="AE251" s="14">
        <v>0.34994961691040333</v>
      </c>
    </row>
    <row r="252" spans="1:32" x14ac:dyDescent="0.2">
      <c r="A252" s="23">
        <v>251</v>
      </c>
      <c r="B252" s="16">
        <v>30347</v>
      </c>
      <c r="C252" s="16">
        <v>25072</v>
      </c>
      <c r="D252" s="27" t="s">
        <v>281</v>
      </c>
      <c r="E252" s="9">
        <v>546517088</v>
      </c>
      <c r="F252" s="9">
        <v>14172288</v>
      </c>
      <c r="G252" s="9">
        <v>28344576</v>
      </c>
      <c r="H252" s="9">
        <v>0</v>
      </c>
      <c r="I252" s="9">
        <v>109304832</v>
      </c>
      <c r="J252" s="10">
        <v>5664672</v>
      </c>
      <c r="K252" s="9">
        <v>0</v>
      </c>
      <c r="L252" s="9">
        <v>11336416</v>
      </c>
      <c r="M252" s="9">
        <v>47827936</v>
      </c>
      <c r="N252" s="9">
        <v>0</v>
      </c>
      <c r="O252" s="9">
        <v>0</v>
      </c>
      <c r="P252" s="9">
        <v>0</v>
      </c>
      <c r="Q252" s="9">
        <v>763167808</v>
      </c>
      <c r="R252" s="8">
        <v>484771882.63</v>
      </c>
      <c r="S252" s="8">
        <v>4617046</v>
      </c>
      <c r="T252" s="8">
        <v>45086364</v>
      </c>
      <c r="U252" s="8">
        <v>0</v>
      </c>
      <c r="V252" s="8">
        <v>76548557</v>
      </c>
      <c r="W252" s="8">
        <v>1461684</v>
      </c>
      <c r="X252" s="8">
        <v>0</v>
      </c>
      <c r="Y252" s="8">
        <v>52850744</v>
      </c>
      <c r="Z252" s="8">
        <v>55403530.62878</v>
      </c>
      <c r="AA252" s="8">
        <v>0</v>
      </c>
      <c r="AB252" s="8">
        <v>0</v>
      </c>
      <c r="AC252" s="8">
        <v>0</v>
      </c>
      <c r="AD252" s="11">
        <v>720739808.25878</v>
      </c>
      <c r="AE252" s="18">
        <v>0.94399999999999995</v>
      </c>
    </row>
    <row r="253" spans="1:32" x14ac:dyDescent="0.2">
      <c r="A253" s="23">
        <v>252</v>
      </c>
      <c r="B253" s="13">
        <v>24568</v>
      </c>
      <c r="C253" s="13">
        <v>25195</v>
      </c>
      <c r="D253" s="26" t="s">
        <v>282</v>
      </c>
      <c r="E253" s="9">
        <v>0</v>
      </c>
      <c r="F253" s="9">
        <v>1909782</v>
      </c>
      <c r="G253" s="9">
        <v>2864673</v>
      </c>
      <c r="H253" s="9">
        <v>0</v>
      </c>
      <c r="I253" s="9">
        <v>69940000</v>
      </c>
      <c r="J253" s="10">
        <v>3392090</v>
      </c>
      <c r="K253" s="9">
        <v>0</v>
      </c>
      <c r="L253" s="9">
        <v>8959664</v>
      </c>
      <c r="M253" s="9">
        <v>82707897</v>
      </c>
      <c r="N253" s="9">
        <v>0</v>
      </c>
      <c r="O253" s="9">
        <v>0</v>
      </c>
      <c r="P253" s="9">
        <v>0</v>
      </c>
      <c r="Q253" s="9">
        <v>169774106</v>
      </c>
      <c r="R253" s="8">
        <v>0</v>
      </c>
      <c r="S253" s="8">
        <v>2733000</v>
      </c>
      <c r="T253" s="8">
        <v>0</v>
      </c>
      <c r="U253" s="8">
        <v>0</v>
      </c>
      <c r="V253" s="8">
        <v>98569876</v>
      </c>
      <c r="W253" s="8">
        <v>9041620</v>
      </c>
      <c r="X253" s="8">
        <v>0</v>
      </c>
      <c r="Y253" s="8">
        <v>26598170</v>
      </c>
      <c r="Z253" s="8">
        <v>19579762.917599998</v>
      </c>
      <c r="AA253" s="8">
        <v>0</v>
      </c>
      <c r="AB253" s="8">
        <v>0</v>
      </c>
      <c r="AC253" s="8">
        <v>0</v>
      </c>
      <c r="AD253" s="11">
        <v>156522428.91760001</v>
      </c>
      <c r="AE253" s="18">
        <v>0.92200000000000004</v>
      </c>
    </row>
    <row r="254" spans="1:32" x14ac:dyDescent="0.2">
      <c r="A254" s="23">
        <v>253</v>
      </c>
      <c r="B254" s="16">
        <v>31026</v>
      </c>
      <c r="C254" s="16">
        <v>25206</v>
      </c>
      <c r="D254" s="27" t="s">
        <v>283</v>
      </c>
      <c r="E254" s="9">
        <v>0</v>
      </c>
      <c r="F254" s="9">
        <v>10392052</v>
      </c>
      <c r="G254" s="9">
        <v>16627298</v>
      </c>
      <c r="H254" s="9">
        <v>0</v>
      </c>
      <c r="I254" s="9">
        <v>62352454</v>
      </c>
      <c r="J254" s="10">
        <v>4156807</v>
      </c>
      <c r="K254" s="9">
        <v>0</v>
      </c>
      <c r="L254" s="9">
        <v>2078438</v>
      </c>
      <c r="M254" s="9">
        <v>131271264</v>
      </c>
      <c r="N254" s="9">
        <v>0</v>
      </c>
      <c r="O254" s="9">
        <v>0</v>
      </c>
      <c r="P254" s="9">
        <v>0</v>
      </c>
      <c r="Q254" s="9">
        <v>226878313</v>
      </c>
      <c r="R254" s="8">
        <v>0</v>
      </c>
      <c r="S254" s="8">
        <v>2836500</v>
      </c>
      <c r="T254" s="8">
        <v>0</v>
      </c>
      <c r="U254" s="8">
        <v>0</v>
      </c>
      <c r="V254" s="8">
        <v>113231624</v>
      </c>
      <c r="W254" s="8">
        <v>5983641</v>
      </c>
      <c r="X254" s="8">
        <v>0</v>
      </c>
      <c r="Y254" s="8">
        <v>20578191</v>
      </c>
      <c r="Z254" s="8">
        <v>31948361.939520001</v>
      </c>
      <c r="AA254" s="8">
        <v>0</v>
      </c>
      <c r="AB254" s="8">
        <v>0</v>
      </c>
      <c r="AC254" s="8">
        <v>0</v>
      </c>
      <c r="AD254" s="11">
        <v>174578317.93952</v>
      </c>
      <c r="AE254" s="18">
        <v>0.76900000000000002</v>
      </c>
    </row>
    <row r="255" spans="1:32" x14ac:dyDescent="0.2">
      <c r="A255" s="23">
        <v>254</v>
      </c>
      <c r="B255" s="13">
        <v>30087</v>
      </c>
      <c r="C255" s="13">
        <v>25234</v>
      </c>
      <c r="D255" s="26" t="s">
        <v>284</v>
      </c>
      <c r="E255" s="9">
        <v>26392491</v>
      </c>
      <c r="F255" s="9">
        <v>2746800</v>
      </c>
      <c r="G255" s="9">
        <v>0</v>
      </c>
      <c r="H255" s="9">
        <v>0</v>
      </c>
      <c r="I255" s="9">
        <v>45665550</v>
      </c>
      <c r="J255" s="10">
        <v>4463550</v>
      </c>
      <c r="K255" s="9">
        <v>0</v>
      </c>
      <c r="L255" s="9">
        <v>1030050</v>
      </c>
      <c r="M255" s="9">
        <v>32989068</v>
      </c>
      <c r="N255" s="9">
        <v>26420783</v>
      </c>
      <c r="O255" s="9">
        <v>0</v>
      </c>
      <c r="P255" s="9">
        <v>0</v>
      </c>
      <c r="Q255" s="9">
        <v>139708292</v>
      </c>
      <c r="R255" s="8">
        <v>30770823.809999999</v>
      </c>
      <c r="S255" s="8">
        <v>662500</v>
      </c>
      <c r="T255" s="8">
        <v>0</v>
      </c>
      <c r="U255" s="8">
        <v>0</v>
      </c>
      <c r="V255" s="8">
        <v>13204902</v>
      </c>
      <c r="W255" s="8">
        <v>2443387</v>
      </c>
      <c r="X255" s="8">
        <v>0</v>
      </c>
      <c r="Y255" s="8">
        <v>2012507.375</v>
      </c>
      <c r="Z255" s="8">
        <v>18023539.816670001</v>
      </c>
      <c r="AA255" s="8">
        <v>0</v>
      </c>
      <c r="AB255" s="8">
        <v>0</v>
      </c>
      <c r="AC255" s="8">
        <v>0</v>
      </c>
      <c r="AD255" s="11">
        <v>67117660.001670003</v>
      </c>
      <c r="AE255" s="14">
        <v>0.59199999999999997</v>
      </c>
    </row>
    <row r="256" spans="1:32" x14ac:dyDescent="0.2">
      <c r="A256" s="23">
        <v>255</v>
      </c>
      <c r="B256" s="16">
        <v>27079</v>
      </c>
      <c r="C256" s="16">
        <v>23945</v>
      </c>
      <c r="D256" s="27" t="s">
        <v>285</v>
      </c>
      <c r="E256" s="9">
        <v>1480000000</v>
      </c>
      <c r="F256" s="9">
        <v>101000000</v>
      </c>
      <c r="G256" s="9">
        <v>151000000</v>
      </c>
      <c r="H256" s="9">
        <v>0</v>
      </c>
      <c r="I256" s="9">
        <v>447470000</v>
      </c>
      <c r="J256" s="10">
        <v>141000000</v>
      </c>
      <c r="K256" s="9">
        <v>0</v>
      </c>
      <c r="L256" s="9">
        <v>0</v>
      </c>
      <c r="M256" s="9">
        <v>617910000</v>
      </c>
      <c r="N256" s="9">
        <v>460000000</v>
      </c>
      <c r="O256" s="9">
        <v>55000000</v>
      </c>
      <c r="P256" s="9">
        <v>30000000</v>
      </c>
      <c r="Q256" s="9">
        <v>3483380000</v>
      </c>
      <c r="R256" s="8">
        <v>1740031366.21</v>
      </c>
      <c r="S256" s="8">
        <v>176225591</v>
      </c>
      <c r="T256" s="8">
        <v>112517182</v>
      </c>
      <c r="U256" s="8">
        <v>288677275</v>
      </c>
      <c r="V256" s="8">
        <v>766656748</v>
      </c>
      <c r="W256" s="8">
        <v>116310000.1336</v>
      </c>
      <c r="X256" s="8">
        <v>0</v>
      </c>
      <c r="Y256" s="8">
        <v>1435924564</v>
      </c>
      <c r="Z256" s="8">
        <v>71214567.07062</v>
      </c>
      <c r="AA256" s="8">
        <v>0</v>
      </c>
      <c r="AB256" s="8">
        <v>0</v>
      </c>
      <c r="AC256" s="8">
        <v>0</v>
      </c>
      <c r="AD256" s="11">
        <v>4707557293.4142199</v>
      </c>
      <c r="AE256" s="25">
        <v>1.6020000000000001</v>
      </c>
    </row>
    <row r="257" spans="1:31" x14ac:dyDescent="0.2">
      <c r="A257" s="23">
        <v>256</v>
      </c>
      <c r="B257" s="13">
        <v>27340</v>
      </c>
      <c r="C257" s="13">
        <v>24071</v>
      </c>
      <c r="D257" s="26" t="s">
        <v>286</v>
      </c>
      <c r="E257" s="9">
        <v>77410200</v>
      </c>
      <c r="F257" s="9">
        <v>11295570</v>
      </c>
      <c r="G257" s="9">
        <v>3791520</v>
      </c>
      <c r="H257" s="9">
        <v>0</v>
      </c>
      <c r="I257" s="9">
        <v>35545500</v>
      </c>
      <c r="J257" s="10">
        <v>7899000</v>
      </c>
      <c r="K257" s="9">
        <v>0</v>
      </c>
      <c r="L257" s="9">
        <v>1737780</v>
      </c>
      <c r="M257" s="9">
        <v>1737780</v>
      </c>
      <c r="N257" s="9">
        <v>9004860</v>
      </c>
      <c r="O257" s="9">
        <v>0</v>
      </c>
      <c r="P257" s="9">
        <v>0</v>
      </c>
      <c r="Q257" s="9">
        <v>148422210</v>
      </c>
      <c r="R257" s="8">
        <v>0</v>
      </c>
      <c r="S257" s="8">
        <v>1713273</v>
      </c>
      <c r="T257" s="8">
        <v>7018182</v>
      </c>
      <c r="U257" s="8">
        <v>0</v>
      </c>
      <c r="V257" s="8">
        <v>20950287</v>
      </c>
      <c r="W257" s="8">
        <v>1429751</v>
      </c>
      <c r="X257" s="8">
        <v>0</v>
      </c>
      <c r="Y257" s="8">
        <v>15786363</v>
      </c>
      <c r="Z257" s="8">
        <v>11665450.02465</v>
      </c>
      <c r="AA257" s="8">
        <v>0</v>
      </c>
      <c r="AB257" s="8">
        <v>0</v>
      </c>
      <c r="AC257" s="8">
        <v>0</v>
      </c>
      <c r="AD257" s="11">
        <v>58563306.02465</v>
      </c>
      <c r="AE257" s="14">
        <v>0.42</v>
      </c>
    </row>
    <row r="258" spans="1:31" x14ac:dyDescent="0.2">
      <c r="A258" s="23">
        <v>257</v>
      </c>
      <c r="B258" s="16">
        <v>28023</v>
      </c>
      <c r="C258" s="16">
        <v>24283</v>
      </c>
      <c r="D258" s="27" t="s">
        <v>287</v>
      </c>
      <c r="E258" s="9">
        <v>0</v>
      </c>
      <c r="F258" s="9">
        <v>383008560</v>
      </c>
      <c r="G258" s="9">
        <v>574512840</v>
      </c>
      <c r="H258" s="9">
        <v>0</v>
      </c>
      <c r="I258" s="9">
        <v>1196909736</v>
      </c>
      <c r="J258" s="10">
        <v>191504280</v>
      </c>
      <c r="K258" s="9">
        <v>0</v>
      </c>
      <c r="L258" s="9">
        <v>95752140</v>
      </c>
      <c r="M258" s="9">
        <v>1263265410</v>
      </c>
      <c r="N258" s="9">
        <v>84252300</v>
      </c>
      <c r="O258" s="9">
        <v>0</v>
      </c>
      <c r="P258" s="9">
        <v>0</v>
      </c>
      <c r="Q258" s="9">
        <v>3789205266</v>
      </c>
      <c r="R258" s="8">
        <v>0</v>
      </c>
      <c r="S258" s="8">
        <v>146060355.375</v>
      </c>
      <c r="T258" s="8">
        <v>556845127</v>
      </c>
      <c r="U258" s="8">
        <v>503761669</v>
      </c>
      <c r="V258" s="8">
        <v>468476019</v>
      </c>
      <c r="W258" s="8">
        <v>55066657</v>
      </c>
      <c r="X258" s="8">
        <v>0</v>
      </c>
      <c r="Y258" s="8">
        <v>997542856</v>
      </c>
      <c r="Z258" s="8">
        <v>147603050.05125001</v>
      </c>
      <c r="AA258" s="8">
        <v>0</v>
      </c>
      <c r="AB258" s="8">
        <v>0</v>
      </c>
      <c r="AC258" s="8">
        <v>0</v>
      </c>
      <c r="AD258" s="11">
        <v>2875355733.42625</v>
      </c>
      <c r="AE258" s="18">
        <v>0.77600000000000002</v>
      </c>
    </row>
    <row r="259" spans="1:31" x14ac:dyDescent="0.2">
      <c r="A259" s="23">
        <v>258</v>
      </c>
      <c r="B259" s="13">
        <v>28165</v>
      </c>
      <c r="C259" s="13">
        <v>24353</v>
      </c>
      <c r="D259" s="26" t="s">
        <v>288</v>
      </c>
      <c r="E259" s="9">
        <v>0</v>
      </c>
      <c r="F259" s="9">
        <v>58986387</v>
      </c>
      <c r="G259" s="9">
        <v>147477942</v>
      </c>
      <c r="H259" s="9">
        <v>0</v>
      </c>
      <c r="I259" s="9">
        <v>176967144</v>
      </c>
      <c r="J259" s="10">
        <v>29489202</v>
      </c>
      <c r="K259" s="9">
        <v>0</v>
      </c>
      <c r="L259" s="9">
        <v>0</v>
      </c>
      <c r="M259" s="9">
        <v>322640928</v>
      </c>
      <c r="N259" s="9">
        <v>0</v>
      </c>
      <c r="O259" s="9">
        <v>0</v>
      </c>
      <c r="P259" s="9">
        <v>0</v>
      </c>
      <c r="Q259" s="9">
        <v>735561603</v>
      </c>
      <c r="R259" s="8">
        <v>0</v>
      </c>
      <c r="S259" s="8">
        <v>27292046</v>
      </c>
      <c r="T259" s="8">
        <v>490909</v>
      </c>
      <c r="U259" s="8">
        <v>0</v>
      </c>
      <c r="V259" s="8">
        <v>378382651</v>
      </c>
      <c r="W259" s="8">
        <v>61267558</v>
      </c>
      <c r="X259" s="8">
        <v>0</v>
      </c>
      <c r="Y259" s="8">
        <v>56562928.5</v>
      </c>
      <c r="Z259" s="8">
        <v>33577061.565729998</v>
      </c>
      <c r="AA259" s="8">
        <v>0</v>
      </c>
      <c r="AB259" s="8">
        <v>0</v>
      </c>
      <c r="AC259" s="8">
        <v>0</v>
      </c>
      <c r="AD259" s="11">
        <v>557573154.06572998</v>
      </c>
      <c r="AE259" s="18">
        <v>0.75800000000000001</v>
      </c>
    </row>
    <row r="260" spans="1:31" x14ac:dyDescent="0.2">
      <c r="A260" s="23">
        <v>259</v>
      </c>
      <c r="B260" s="16">
        <v>27952</v>
      </c>
      <c r="C260" s="16">
        <v>24377</v>
      </c>
      <c r="D260" s="27" t="s">
        <v>289</v>
      </c>
      <c r="E260" s="9">
        <v>323202468</v>
      </c>
      <c r="F260" s="9">
        <v>72211041</v>
      </c>
      <c r="G260" s="9">
        <v>108316561</v>
      </c>
      <c r="H260" s="9">
        <v>0</v>
      </c>
      <c r="I260" s="9">
        <v>1083165850</v>
      </c>
      <c r="J260" s="10">
        <v>72211041</v>
      </c>
      <c r="K260" s="9">
        <v>0</v>
      </c>
      <c r="L260" s="9">
        <v>144422081</v>
      </c>
      <c r="M260" s="9">
        <v>1314193748</v>
      </c>
      <c r="N260" s="9">
        <v>0</v>
      </c>
      <c r="O260" s="9">
        <v>7908120</v>
      </c>
      <c r="P260" s="9">
        <v>0</v>
      </c>
      <c r="Q260" s="9">
        <v>3125630910</v>
      </c>
      <c r="R260" s="8">
        <v>496433385.86000001</v>
      </c>
      <c r="S260" s="8">
        <v>36838136</v>
      </c>
      <c r="T260" s="8">
        <v>89035171</v>
      </c>
      <c r="U260" s="8">
        <v>78727272</v>
      </c>
      <c r="V260" s="8">
        <v>116556068</v>
      </c>
      <c r="W260" s="8">
        <v>23623481</v>
      </c>
      <c r="X260" s="8">
        <v>22370139.440000001</v>
      </c>
      <c r="Y260" s="8">
        <v>513072614</v>
      </c>
      <c r="Z260" s="8">
        <v>143953719.66622001</v>
      </c>
      <c r="AA260" s="8">
        <v>0</v>
      </c>
      <c r="AB260" s="8">
        <v>0</v>
      </c>
      <c r="AC260" s="8">
        <v>0</v>
      </c>
      <c r="AD260" s="11">
        <v>1520609986.9662201</v>
      </c>
      <c r="AE260" s="14">
        <v>0.48799999999999999</v>
      </c>
    </row>
  </sheetData>
  <autoFilter ref="A1:AF244" xr:uid="{00000000-0001-0000-0000-000000000000}"/>
  <conditionalFormatting sqref="C245:C260">
    <cfRule type="duplicateValues" dxfId="0" priority="1" stopIfTrue="1"/>
  </conditionalFormatting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Yennifer Mancuello</dc:creator>
  <cp:lastModifiedBy>Yennifer Mancuello</cp:lastModifiedBy>
  <dcterms:created xsi:type="dcterms:W3CDTF">2026-06-18T18:55:54Z</dcterms:created>
  <dcterms:modified xsi:type="dcterms:W3CDTF">2026-06-19T16:41:05Z</dcterms:modified>
</cp:coreProperties>
</file>