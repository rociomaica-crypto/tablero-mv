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vaceros-my.sharepoint.com/personal/analista2_metalurgicavera_com_py1/Documents/Yennifer Mancuello/1-LINK Y FORMATO REPORTE COSTO/"/>
    </mc:Choice>
  </mc:AlternateContent>
  <xr:revisionPtr revIDLastSave="0" documentId="8_{729A7B5F-6A5A-4B2C-8F1D-DF2078776213}" xr6:coauthVersionLast="47" xr6:coauthVersionMax="47" xr10:uidLastSave="{00000000-0000-0000-0000-000000000000}"/>
  <bookViews>
    <workbookView xWindow="-120" yWindow="-120" windowWidth="29040" windowHeight="15720"/>
  </bookViews>
  <sheets>
    <sheet name="m" sheetId="1" r:id="rId1"/>
  </sheets>
  <definedNames>
    <definedName name="_xlnm._FilterDatabase" localSheetId="0" hidden="1">m!$A$1:$AJ$22</definedName>
  </definedNames>
  <calcPr calcId="181029"/>
</workbook>
</file>

<file path=xl/sharedStrings.xml><?xml version="1.0" encoding="utf-8"?>
<sst xmlns="http://schemas.openxmlformats.org/spreadsheetml/2006/main" count="75" uniqueCount="55">
  <si>
    <t xml:space="preserve">Nro. OT </t>
  </si>
  <si>
    <t>Cobertura - Chapas</t>
  </si>
  <si>
    <t>Transporte a Obra</t>
  </si>
  <si>
    <t>Grúa</t>
  </si>
  <si>
    <t>Insumos en Obra</t>
  </si>
  <si>
    <t>Costo de Cobertura Ejecutado</t>
  </si>
  <si>
    <t>Otras Maquinas</t>
  </si>
  <si>
    <t>Gastos de Obra</t>
  </si>
  <si>
    <t>Steel Deck</t>
  </si>
  <si>
    <t>Costo Indirecto de Obras</t>
  </si>
  <si>
    <t>Otros 3 + Observación</t>
  </si>
  <si>
    <t>Otros 1 + Observación</t>
  </si>
  <si>
    <t>Otros 2 + Observación</t>
  </si>
  <si>
    <t>Mano de Obra Montaje</t>
  </si>
  <si>
    <t>Costo de Transporte a Obra Ejecutado</t>
  </si>
  <si>
    <t>Costo de Grúa Ejecutado</t>
  </si>
  <si>
    <t>Total Costos Obras</t>
  </si>
  <si>
    <t>Costo de Mano Obra Montaje Ejecutado</t>
  </si>
  <si>
    <t>Costo de Insumos en Obra Ejecutado</t>
  </si>
  <si>
    <t>Otras Maquinas Ejecutado</t>
  </si>
  <si>
    <t>Costo de Gastos de Obra Ejecutado</t>
  </si>
  <si>
    <t>Steel Deck Ejecutado</t>
  </si>
  <si>
    <t>Costo Indirecto de Obras Ejecutado</t>
  </si>
  <si>
    <t>Otros 1 Ejecutado</t>
  </si>
  <si>
    <t>Otros 2 Ejecutado</t>
  </si>
  <si>
    <t>Otros 3 Ejecutado</t>
  </si>
  <si>
    <t>Total General</t>
  </si>
  <si>
    <t>Saldo</t>
  </si>
  <si>
    <t>Nombre de la Obra</t>
  </si>
  <si>
    <t>Nro. Reg</t>
  </si>
  <si>
    <t>Item</t>
  </si>
  <si>
    <t>Puerto de Asunción Galpón G</t>
  </si>
  <si>
    <t>Refuerzo Galpón G</t>
  </si>
  <si>
    <t>ELEVACIÓN DE TECHO MUNICH - TECNOEDIL</t>
  </si>
  <si>
    <t>Cielo Raso BOLSI PLAST</t>
  </si>
  <si>
    <t>Porticos de Acceso Imbiotec</t>
  </si>
  <si>
    <t>Portones Puerto Galpón G</t>
  </si>
  <si>
    <t>Montaje de Tuberias Pluvial</t>
  </si>
  <si>
    <t>Adicional Pintura General de Porticos Galpón G</t>
  </si>
  <si>
    <t>TECHO VIVIENDA DOS SANTOS OPC N° 2</t>
  </si>
  <si>
    <t>Parasol_Edif. First Mariscal</t>
  </si>
  <si>
    <t>LPI 1844/24 OBRAS PRELIMINARES ACARAY</t>
  </si>
  <si>
    <t>Escalera Marinera - Parglass</t>
  </si>
  <si>
    <t>Mano de Obra - Galpón Aratiri</t>
  </si>
  <si>
    <t>Adicional - Ziplan / Canaleta Opción Zipada - PARG</t>
  </si>
  <si>
    <t>Galpón N°3 30x90, Puerto Seguro</t>
  </si>
  <si>
    <t>Adecuación Zona Trampolines</t>
  </si>
  <si>
    <t>CPP-FPTI-PY-024-2024 - Estructuras Metálicas</t>
  </si>
  <si>
    <t>Techo Club House Golf</t>
  </si>
  <si>
    <t>Nave de Producción PARGLASS Opc 2</t>
  </si>
  <si>
    <t>Puentes Peatonales y Ascensores Panorómicos con riostras R3 Victoria Rigia DP</t>
  </si>
  <si>
    <t>Siderurgica Las Lomas</t>
  </si>
  <si>
    <t>Super Intendente Asignado</t>
  </si>
  <si>
    <t>Juan Acuña</t>
  </si>
  <si>
    <t>25034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</si>
</sst>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1" x14ac:knownFonts="1">
    <font>
      <sz val="10"/>
      <name val="Arial"/>
    </font>
    <font>
      <b/>
      <sz val="8"/>
      <color indexed="64"/>
      <name val="Arial"/>
      <family val="2"/>
      <charset val="1"/>
    </font>
    <font>
      <b/>
      <sz val="7"/>
      <color indexed="64"/>
      <name val="Arial"/>
      <family val="2"/>
      <charset val="1"/>
    </font>
    <font>
      <b/>
      <sz val="8"/>
      <color indexed="64"/>
      <name val="Arial"/>
      <family val="2"/>
    </font>
    <font>
      <b/>
      <sz val="9"/>
      <color indexed="64"/>
      <name val="Arial"/>
      <family val="2"/>
    </font>
    <font>
      <b/>
      <sz val="9"/>
      <color indexed="8"/>
      <name val="Arial"/>
      <family val="2"/>
      <charset val="1"/>
    </font>
    <font>
      <sz val="9"/>
      <color indexed="8"/>
      <name val="Arial"/>
      <family val="2"/>
      <charset val="1"/>
    </font>
    <font>
      <b/>
      <sz val="9"/>
      <color indexed="9"/>
      <name val="Arial"/>
      <family val="2"/>
    </font>
    <font>
      <sz val="9"/>
      <color indexed="64"/>
      <name val="Arial"/>
      <family val="2"/>
      <charset val="1"/>
    </font>
    <font>
      <sz val="10"/>
      <name val="Arial"/>
      <family val="2"/>
    </font>
    <font>
      <b/>
      <sz val="10"/>
      <color indexed="64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center" vertical="top" wrapText="1"/>
    </xf>
    <xf numFmtId="49" fontId="1" fillId="3" borderId="1" xfId="0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49" fontId="3" fillId="3" borderId="1" xfId="0" applyNumberFormat="1" applyFont="1" applyFill="1" applyBorder="1" applyAlignment="1">
      <alignment horizontal="center" vertical="top" wrapText="1"/>
    </xf>
    <xf numFmtId="49" fontId="3" fillId="4" borderId="1" xfId="0" applyNumberFormat="1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horizontal="center" vertical="top" wrapText="1"/>
    </xf>
    <xf numFmtId="49" fontId="5" fillId="4" borderId="1" xfId="0" applyNumberFormat="1" applyFont="1" applyFill="1" applyBorder="1" applyAlignment="1">
      <alignment horizontal="center" vertical="top" wrapText="1"/>
    </xf>
    <xf numFmtId="3" fontId="6" fillId="5" borderId="1" xfId="0" applyNumberFormat="1" applyFont="1" applyFill="1" applyBorder="1" applyAlignment="1">
      <alignment horizontal="right" vertical="top"/>
    </xf>
    <xf numFmtId="3" fontId="6" fillId="6" borderId="1" xfId="0" applyNumberFormat="1" applyFont="1" applyFill="1" applyBorder="1" applyAlignment="1">
      <alignment horizontal="right" vertical="top"/>
    </xf>
    <xf numFmtId="4" fontId="6" fillId="6" borderId="1" xfId="0" applyNumberFormat="1" applyFont="1" applyFill="1" applyBorder="1" applyAlignment="1">
      <alignment horizontal="right" vertical="top"/>
    </xf>
    <xf numFmtId="3" fontId="7" fillId="7" borderId="1" xfId="0" applyNumberFormat="1" applyFont="1" applyFill="1" applyBorder="1" applyAlignment="1">
      <alignment horizontal="right" vertical="top"/>
    </xf>
    <xf numFmtId="0" fontId="8" fillId="2" borderId="1" xfId="0" applyFont="1" applyFill="1" applyBorder="1" applyAlignment="1">
      <alignment horizontal="right" vertical="top" wrapText="1"/>
    </xf>
    <xf numFmtId="49" fontId="6" fillId="8" borderId="1" xfId="0" applyNumberFormat="1" applyFont="1" applyFill="1" applyBorder="1" applyAlignment="1">
      <alignment horizontal="left" vertical="top" wrapText="1"/>
    </xf>
    <xf numFmtId="49" fontId="6" fillId="8" borderId="1" xfId="0" applyNumberFormat="1" applyFont="1" applyFill="1" applyBorder="1" applyAlignment="1">
      <alignment horizontal="center" vertical="top"/>
    </xf>
    <xf numFmtId="164" fontId="4" fillId="9" borderId="1" xfId="0" applyNumberFormat="1" applyFont="1" applyFill="1" applyBorder="1" applyAlignment="1">
      <alignment horizontal="center" vertical="top"/>
    </xf>
    <xf numFmtId="49" fontId="6" fillId="10" borderId="1" xfId="0" applyNumberFormat="1" applyFont="1" applyFill="1" applyBorder="1" applyAlignment="1">
      <alignment horizontal="left" vertical="top" wrapText="1"/>
    </xf>
    <xf numFmtId="49" fontId="6" fillId="10" borderId="1" xfId="0" applyNumberFormat="1" applyFont="1" applyFill="1" applyBorder="1" applyAlignment="1">
      <alignment horizontal="center" vertical="top"/>
    </xf>
    <xf numFmtId="164" fontId="4" fillId="11" borderId="1" xfId="0" applyNumberFormat="1" applyFont="1" applyFill="1" applyBorder="1" applyAlignment="1">
      <alignment horizontal="center" vertical="top"/>
    </xf>
    <xf numFmtId="49" fontId="1" fillId="3" borderId="2" xfId="0" applyNumberFormat="1" applyFont="1" applyFill="1" applyBorder="1" applyAlignment="1">
      <alignment vertical="top" wrapText="1"/>
    </xf>
    <xf numFmtId="49" fontId="10" fillId="2" borderId="1" xfId="0" applyNumberFormat="1" applyFont="1" applyFill="1" applyBorder="1" applyAlignment="1">
      <alignment horizontal="center" vertical="top" wrapText="1"/>
    </xf>
    <xf numFmtId="49" fontId="6" fillId="8" borderId="1" xfId="0" applyNumberFormat="1" applyFont="1" applyFill="1" applyBorder="1" applyAlignment="1">
      <alignment horizontal="center" vertical="top" wrapText="1"/>
    </xf>
    <xf numFmtId="49" fontId="6" fillId="10" borderId="1" xfId="0" applyNumberFormat="1" applyFont="1" applyFill="1" applyBorder="1" applyAlignment="1">
      <alignment horizontal="center" vertical="top" wrapText="1"/>
    </xf>
    <xf numFmtId="0" fontId="9" fillId="0" borderId="0" xfId="0" applyFont="1"/>
    <xf numFmtId="164" fontId="4" fillId="1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2B2B"/>
      <rgbColor rgb="00FFFF3E"/>
      <rgbColor rgb="00EFEFEF"/>
      <rgbColor rgb="0000FF80"/>
      <rgbColor rgb="00D6D6D6"/>
      <rgbColor rgb="00C0C0C0"/>
      <rgbColor rgb="00008080"/>
      <rgbColor rgb="00C0DCC0"/>
      <rgbColor rgb="00A6CAF0"/>
      <rgbColor rgb="00B0FBAE"/>
      <rgbColor rgb="00FFFFFF"/>
      <rgbColor rgb="00FFFBF0"/>
      <rgbColor rgb="0099B4D1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2"/>
  <sheetViews>
    <sheetView tabSelected="1" zoomScale="90" zoomScaleNormal="90" workbookViewId="0">
      <selection activeCell="A2" sqref="A2"/>
    </sheetView>
  </sheetViews>
  <sheetFormatPr baseColWidth="10" defaultColWidth="9.140625" defaultRowHeight="12.75" x14ac:dyDescent="0.2"/>
  <cols>
    <col min="1" max="1" width="5.140625" customWidth="1"/>
    <col min="2" max="2" width="11.140625" customWidth="1"/>
    <col min="3" max="3" width="11" customWidth="1"/>
    <col min="4" max="4" width="46.7109375" customWidth="1"/>
    <col min="5" max="5" width="18.42578125" customWidth="1"/>
    <col min="6" max="7" width="13.42578125" customWidth="1"/>
    <col min="8" max="8" width="13.140625" customWidth="1"/>
    <col min="9" max="9" width="14" customWidth="1"/>
    <col min="10" max="10" width="13.5703125" customWidth="1"/>
    <col min="11" max="11" width="13.7109375" customWidth="1"/>
    <col min="12" max="12" width="13" customWidth="1"/>
    <col min="13" max="13" width="13.42578125" customWidth="1"/>
    <col min="14" max="14" width="16.7109375" customWidth="1"/>
    <col min="15" max="15" width="14" customWidth="1"/>
    <col min="16" max="16" width="14.140625" customWidth="1"/>
    <col min="17" max="17" width="14" customWidth="1"/>
    <col min="18" max="18" width="17.85546875" customWidth="1"/>
    <col min="19" max="19" width="14" customWidth="1"/>
    <col min="20" max="21" width="13.7109375" customWidth="1"/>
    <col min="22" max="22" width="14" customWidth="1"/>
    <col min="23" max="23" width="13.5703125" customWidth="1"/>
    <col min="24" max="24" width="13.7109375" customWidth="1"/>
    <col min="25" max="25" width="15.140625" customWidth="1"/>
    <col min="26" max="26" width="13.7109375" customWidth="1"/>
    <col min="27" max="27" width="17.28515625" customWidth="1"/>
    <col min="28" max="28" width="14.42578125" customWidth="1"/>
    <col min="29" max="30" width="14.28515625" customWidth="1"/>
    <col min="31" max="31" width="16" customWidth="1"/>
    <col min="32" max="32" width="13.7109375" customWidth="1"/>
    <col min="33" max="33" width="13.42578125" bestFit="1" customWidth="1"/>
  </cols>
  <sheetData>
    <row r="1" spans="1:33" ht="30" customHeight="1" x14ac:dyDescent="0.2">
      <c r="A1" s="1" t="s">
        <v>30</v>
      </c>
      <c r="B1" s="1" t="s">
        <v>29</v>
      </c>
      <c r="C1" s="1" t="s">
        <v>0</v>
      </c>
      <c r="D1" s="1" t="s">
        <v>28</v>
      </c>
      <c r="E1" s="20" t="s">
        <v>52</v>
      </c>
      <c r="F1" s="2" t="s">
        <v>1</v>
      </c>
      <c r="G1" s="2" t="s">
        <v>2</v>
      </c>
      <c r="H1" s="2" t="s">
        <v>3</v>
      </c>
      <c r="I1" s="4" t="s">
        <v>6</v>
      </c>
      <c r="J1" s="2" t="s">
        <v>13</v>
      </c>
      <c r="K1" s="2" t="s">
        <v>4</v>
      </c>
      <c r="L1" s="4" t="s">
        <v>8</v>
      </c>
      <c r="M1" s="19" t="s">
        <v>7</v>
      </c>
      <c r="N1" s="4" t="s">
        <v>9</v>
      </c>
      <c r="O1" s="19" t="s">
        <v>11</v>
      </c>
      <c r="P1" s="19" t="s">
        <v>12</v>
      </c>
      <c r="Q1" s="19" t="s">
        <v>10</v>
      </c>
      <c r="R1" s="4" t="s">
        <v>16</v>
      </c>
      <c r="S1" s="3" t="s">
        <v>5</v>
      </c>
      <c r="T1" s="3" t="s">
        <v>14</v>
      </c>
      <c r="U1" s="3" t="s">
        <v>15</v>
      </c>
      <c r="V1" s="5" t="s">
        <v>19</v>
      </c>
      <c r="W1" s="3" t="s">
        <v>17</v>
      </c>
      <c r="X1" s="3" t="s">
        <v>18</v>
      </c>
      <c r="Y1" s="5" t="s">
        <v>21</v>
      </c>
      <c r="Z1" s="3" t="s">
        <v>20</v>
      </c>
      <c r="AA1" s="6" t="s">
        <v>22</v>
      </c>
      <c r="AB1" s="6" t="s">
        <v>23</v>
      </c>
      <c r="AC1" s="6" t="s">
        <v>24</v>
      </c>
      <c r="AD1" s="6" t="s">
        <v>25</v>
      </c>
      <c r="AE1" s="3" t="s">
        <v>26</v>
      </c>
      <c r="AF1" s="7" t="s">
        <v>27</v>
      </c>
    </row>
    <row r="2" spans="1:33" ht="12.95" customHeight="1" x14ac:dyDescent="0.2">
      <c r="A2" s="12">
        <v>1</v>
      </c>
      <c r="B2" s="17">
        <v>30903</v>
      </c>
      <c r="C2" s="17">
        <v>25436</v>
      </c>
      <c r="D2" s="16" t="s">
        <v>31</v>
      </c>
      <c r="E2" s="22" t="s">
        <v>53</v>
      </c>
      <c r="F2" s="9">
        <v>164061235</v>
      </c>
      <c r="G2" s="9">
        <v>12280800</v>
      </c>
      <c r="H2" s="9">
        <v>24600000</v>
      </c>
      <c r="I2" s="9">
        <v>174080000</v>
      </c>
      <c r="J2" s="9">
        <v>122808000</v>
      </c>
      <c r="K2" s="10">
        <v>18421200</v>
      </c>
      <c r="L2" s="9">
        <v>0</v>
      </c>
      <c r="M2" s="9">
        <v>0</v>
      </c>
      <c r="N2" s="9">
        <v>210000000</v>
      </c>
      <c r="O2" s="9">
        <v>65520368</v>
      </c>
      <c r="P2" s="9">
        <v>45062981</v>
      </c>
      <c r="Q2" s="9">
        <v>48960032</v>
      </c>
      <c r="R2" s="9">
        <v>885794616</v>
      </c>
      <c r="S2" s="8">
        <v>5425010.2599999998</v>
      </c>
      <c r="T2" s="8">
        <v>11531091</v>
      </c>
      <c r="U2" s="8">
        <v>63490911</v>
      </c>
      <c r="V2" s="8">
        <v>57899545</v>
      </c>
      <c r="W2" s="8">
        <v>72435868</v>
      </c>
      <c r="X2" s="8">
        <v>19918600.564860001</v>
      </c>
      <c r="Y2" s="8">
        <v>0</v>
      </c>
      <c r="Z2" s="8">
        <v>121677995.25</v>
      </c>
      <c r="AA2" s="8">
        <v>103057458.81196</v>
      </c>
      <c r="AB2" s="8">
        <v>0</v>
      </c>
      <c r="AC2" s="8">
        <v>0</v>
      </c>
      <c r="AD2" s="8">
        <v>0</v>
      </c>
      <c r="AE2" s="11">
        <v>455436479.88681996</v>
      </c>
      <c r="AF2" s="15">
        <v>0.627</v>
      </c>
    </row>
    <row r="3" spans="1:33" ht="12.95" customHeight="1" x14ac:dyDescent="0.2">
      <c r="A3" s="12">
        <v>2</v>
      </c>
      <c r="B3" s="14">
        <v>31182</v>
      </c>
      <c r="C3" s="14">
        <v>25437</v>
      </c>
      <c r="D3" s="13" t="s">
        <v>32</v>
      </c>
      <c r="E3" s="21" t="s">
        <v>53</v>
      </c>
      <c r="F3" s="9">
        <v>0</v>
      </c>
      <c r="G3" s="9">
        <v>6131011</v>
      </c>
      <c r="H3" s="9">
        <v>0</v>
      </c>
      <c r="I3" s="9">
        <v>88000000</v>
      </c>
      <c r="J3" s="9">
        <v>122616158</v>
      </c>
      <c r="K3" s="10">
        <v>16348821</v>
      </c>
      <c r="L3" s="9">
        <v>0</v>
      </c>
      <c r="M3" s="9">
        <v>0</v>
      </c>
      <c r="N3" s="9">
        <v>85363065</v>
      </c>
      <c r="O3" s="9">
        <v>64022299</v>
      </c>
      <c r="P3" s="9">
        <v>0</v>
      </c>
      <c r="Q3" s="9">
        <v>0</v>
      </c>
      <c r="R3" s="9">
        <v>382481354</v>
      </c>
      <c r="S3" s="8">
        <v>0</v>
      </c>
      <c r="T3" s="8">
        <v>1510500</v>
      </c>
      <c r="U3" s="8">
        <v>818181</v>
      </c>
      <c r="V3" s="8">
        <v>72451816</v>
      </c>
      <c r="W3" s="8">
        <v>94599129</v>
      </c>
      <c r="X3" s="8">
        <v>20498413.518800002</v>
      </c>
      <c r="Y3" s="8">
        <v>0</v>
      </c>
      <c r="Z3" s="8">
        <v>181114364.25</v>
      </c>
      <c r="AA3" s="8">
        <v>51633222.14322</v>
      </c>
      <c r="AB3" s="8">
        <v>0</v>
      </c>
      <c r="AC3" s="8">
        <v>0</v>
      </c>
      <c r="AD3" s="8">
        <v>0</v>
      </c>
      <c r="AE3" s="11">
        <v>422625625.91202003</v>
      </c>
      <c r="AF3" s="24">
        <v>1.327</v>
      </c>
    </row>
    <row r="4" spans="1:33" ht="12.95" customHeight="1" x14ac:dyDescent="0.2">
      <c r="A4" s="12">
        <v>3</v>
      </c>
      <c r="B4" s="17">
        <v>31852</v>
      </c>
      <c r="C4" s="17">
        <v>25484</v>
      </c>
      <c r="D4" s="16" t="s">
        <v>33</v>
      </c>
      <c r="E4" s="22" t="s">
        <v>53</v>
      </c>
      <c r="F4" s="9">
        <v>106291445</v>
      </c>
      <c r="G4" s="9">
        <v>3106025</v>
      </c>
      <c r="H4" s="9">
        <v>5662774</v>
      </c>
      <c r="I4" s="9">
        <v>0</v>
      </c>
      <c r="J4" s="9">
        <v>24410087</v>
      </c>
      <c r="K4" s="10">
        <v>3975712</v>
      </c>
      <c r="L4" s="9">
        <v>0</v>
      </c>
      <c r="M4" s="9">
        <v>0</v>
      </c>
      <c r="N4" s="9">
        <v>7944754</v>
      </c>
      <c r="O4" s="9">
        <v>3249883</v>
      </c>
      <c r="P4" s="9">
        <v>7411957</v>
      </c>
      <c r="Q4" s="9">
        <v>0</v>
      </c>
      <c r="R4" s="9">
        <v>162052637</v>
      </c>
      <c r="S4" s="8">
        <v>84823523</v>
      </c>
      <c r="T4" s="8">
        <v>2043500</v>
      </c>
      <c r="U4" s="8">
        <v>0</v>
      </c>
      <c r="V4" s="8">
        <v>0</v>
      </c>
      <c r="W4" s="8">
        <v>23012409</v>
      </c>
      <c r="X4" s="8">
        <v>2288338</v>
      </c>
      <c r="Y4" s="8">
        <v>0</v>
      </c>
      <c r="Z4" s="8">
        <v>2984160</v>
      </c>
      <c r="AA4" s="8">
        <v>7413967.5711099999</v>
      </c>
      <c r="AB4" s="8">
        <v>0</v>
      </c>
      <c r="AC4" s="8">
        <v>0</v>
      </c>
      <c r="AD4" s="8">
        <v>0</v>
      </c>
      <c r="AE4" s="11">
        <v>122565897.57111</v>
      </c>
      <c r="AF4" s="18">
        <v>0.81</v>
      </c>
    </row>
    <row r="5" spans="1:33" ht="12.95" customHeight="1" x14ac:dyDescent="0.2">
      <c r="A5" s="12">
        <v>4</v>
      </c>
      <c r="B5" s="17">
        <v>32047</v>
      </c>
      <c r="C5" s="17">
        <v>25547</v>
      </c>
      <c r="D5" s="16" t="s">
        <v>34</v>
      </c>
      <c r="E5" s="22" t="s">
        <v>53</v>
      </c>
      <c r="F5" s="9">
        <v>98000784</v>
      </c>
      <c r="G5" s="9">
        <v>2143808</v>
      </c>
      <c r="H5" s="9">
        <v>0</v>
      </c>
      <c r="I5" s="9">
        <v>0</v>
      </c>
      <c r="J5" s="9">
        <v>14588352</v>
      </c>
      <c r="K5" s="10">
        <v>2575184</v>
      </c>
      <c r="L5" s="9">
        <v>0</v>
      </c>
      <c r="M5" s="9">
        <v>0</v>
      </c>
      <c r="N5" s="9">
        <v>4989125</v>
      </c>
      <c r="O5" s="9">
        <v>2934664</v>
      </c>
      <c r="P5" s="9">
        <v>0</v>
      </c>
      <c r="Q5" s="9">
        <v>0</v>
      </c>
      <c r="R5" s="9">
        <v>125231917</v>
      </c>
      <c r="S5" s="8">
        <v>0</v>
      </c>
      <c r="T5" s="8">
        <v>850500</v>
      </c>
      <c r="U5" s="8">
        <v>0</v>
      </c>
      <c r="V5" s="8">
        <v>0</v>
      </c>
      <c r="W5" s="8">
        <v>8211631</v>
      </c>
      <c r="X5" s="8">
        <v>689252.75580000004</v>
      </c>
      <c r="Y5" s="8">
        <v>0</v>
      </c>
      <c r="Z5" s="8">
        <v>600000</v>
      </c>
      <c r="AA5" s="8">
        <v>4611064.6383499997</v>
      </c>
      <c r="AB5" s="8">
        <v>0</v>
      </c>
      <c r="AC5" s="8">
        <v>0</v>
      </c>
      <c r="AD5" s="8">
        <v>0</v>
      </c>
      <c r="AE5" s="11">
        <v>14962448.39415</v>
      </c>
      <c r="AF5" s="15">
        <v>0.122</v>
      </c>
    </row>
    <row r="6" spans="1:33" ht="12.95" customHeight="1" x14ac:dyDescent="0.2">
      <c r="A6" s="12">
        <v>5</v>
      </c>
      <c r="B6" s="17">
        <v>32254</v>
      </c>
      <c r="C6" s="17">
        <v>25579</v>
      </c>
      <c r="D6" s="16" t="s">
        <v>35</v>
      </c>
      <c r="E6" s="22" t="s">
        <v>53</v>
      </c>
      <c r="F6" s="9">
        <v>10649600</v>
      </c>
      <c r="G6" s="9">
        <v>9408000</v>
      </c>
      <c r="H6" s="9">
        <v>19616000</v>
      </c>
      <c r="I6" s="9">
        <v>0</v>
      </c>
      <c r="J6" s="9">
        <v>25145600</v>
      </c>
      <c r="K6" s="10">
        <v>5030400</v>
      </c>
      <c r="L6" s="9">
        <v>0</v>
      </c>
      <c r="M6" s="9">
        <v>13068800</v>
      </c>
      <c r="N6" s="9">
        <v>35808896</v>
      </c>
      <c r="O6" s="9">
        <v>2028800</v>
      </c>
      <c r="P6" s="9">
        <v>0</v>
      </c>
      <c r="Q6" s="9">
        <v>0</v>
      </c>
      <c r="R6" s="9">
        <v>120756096</v>
      </c>
      <c r="S6" s="8">
        <v>0</v>
      </c>
      <c r="T6" s="8">
        <v>3340500</v>
      </c>
      <c r="U6" s="8">
        <v>0</v>
      </c>
      <c r="V6" s="8">
        <v>0</v>
      </c>
      <c r="W6" s="8">
        <v>9521480</v>
      </c>
      <c r="X6" s="8">
        <v>2477253.1727999998</v>
      </c>
      <c r="Y6" s="8">
        <v>0</v>
      </c>
      <c r="Z6" s="8">
        <v>1548783</v>
      </c>
      <c r="AA6" s="8">
        <v>9283137.2412400004</v>
      </c>
      <c r="AB6" s="8">
        <v>0</v>
      </c>
      <c r="AC6" s="8">
        <v>0</v>
      </c>
      <c r="AD6" s="8">
        <v>0</v>
      </c>
      <c r="AE6" s="11">
        <v>26171153.414039999</v>
      </c>
      <c r="AF6" s="15">
        <v>0.22</v>
      </c>
    </row>
    <row r="7" spans="1:33" ht="12.95" customHeight="1" x14ac:dyDescent="0.2">
      <c r="A7" s="12">
        <v>6</v>
      </c>
      <c r="B7" s="14">
        <v>32245</v>
      </c>
      <c r="C7" s="14">
        <v>25614</v>
      </c>
      <c r="D7" s="13" t="s">
        <v>36</v>
      </c>
      <c r="E7" s="21" t="s">
        <v>53</v>
      </c>
      <c r="F7" s="9">
        <v>0</v>
      </c>
      <c r="G7" s="9">
        <v>1200000</v>
      </c>
      <c r="H7" s="9">
        <v>0</v>
      </c>
      <c r="I7" s="9">
        <v>0</v>
      </c>
      <c r="J7" s="9">
        <v>11130240</v>
      </c>
      <c r="K7" s="10">
        <v>1113024</v>
      </c>
      <c r="L7" s="9">
        <v>0</v>
      </c>
      <c r="M7" s="9">
        <v>0</v>
      </c>
      <c r="N7" s="9">
        <v>9270000</v>
      </c>
      <c r="O7" s="9">
        <v>0</v>
      </c>
      <c r="P7" s="9">
        <v>0</v>
      </c>
      <c r="Q7" s="9">
        <v>0</v>
      </c>
      <c r="R7" s="9">
        <v>22713264</v>
      </c>
      <c r="S7" s="8">
        <v>0</v>
      </c>
      <c r="T7" s="8">
        <v>612000</v>
      </c>
      <c r="U7" s="8">
        <v>254545</v>
      </c>
      <c r="V7" s="8">
        <v>0</v>
      </c>
      <c r="W7" s="8">
        <v>5379492</v>
      </c>
      <c r="X7" s="8">
        <v>559584.5943</v>
      </c>
      <c r="Y7" s="8">
        <v>0</v>
      </c>
      <c r="Z7" s="8">
        <v>0</v>
      </c>
      <c r="AA7" s="8">
        <v>2269754.8095</v>
      </c>
      <c r="AB7" s="8">
        <v>0</v>
      </c>
      <c r="AC7" s="8">
        <v>0</v>
      </c>
      <c r="AD7" s="8">
        <v>0</v>
      </c>
      <c r="AE7" s="11">
        <v>9075376.4037999995</v>
      </c>
      <c r="AF7" s="15">
        <v>0.4</v>
      </c>
    </row>
    <row r="8" spans="1:33" ht="12.95" customHeight="1" x14ac:dyDescent="0.2">
      <c r="A8" s="12">
        <v>7</v>
      </c>
      <c r="B8" s="17">
        <v>32252</v>
      </c>
      <c r="C8" s="17">
        <v>25587</v>
      </c>
      <c r="D8" s="16" t="s">
        <v>37</v>
      </c>
      <c r="E8" s="22" t="s">
        <v>53</v>
      </c>
      <c r="F8" s="9">
        <v>0</v>
      </c>
      <c r="G8" s="9">
        <v>804075</v>
      </c>
      <c r="H8" s="9">
        <v>0</v>
      </c>
      <c r="I8" s="9">
        <v>0</v>
      </c>
      <c r="J8" s="9">
        <v>57146880</v>
      </c>
      <c r="K8" s="10">
        <v>2966918</v>
      </c>
      <c r="L8" s="9">
        <v>0</v>
      </c>
      <c r="M8" s="9">
        <v>0</v>
      </c>
      <c r="N8" s="9">
        <v>18276861</v>
      </c>
      <c r="O8" s="9">
        <v>1815179</v>
      </c>
      <c r="P8" s="9">
        <v>0</v>
      </c>
      <c r="Q8" s="9">
        <v>0</v>
      </c>
      <c r="R8" s="9">
        <v>81009913</v>
      </c>
      <c r="S8" s="8">
        <v>0</v>
      </c>
      <c r="T8" s="8">
        <v>0</v>
      </c>
      <c r="U8" s="8">
        <v>0</v>
      </c>
      <c r="V8" s="8">
        <v>0</v>
      </c>
      <c r="W8" s="8">
        <v>132208448</v>
      </c>
      <c r="X8" s="8">
        <v>1952952.26</v>
      </c>
      <c r="Y8" s="8">
        <v>0</v>
      </c>
      <c r="Z8" s="8">
        <v>866667</v>
      </c>
      <c r="AA8" s="8">
        <v>5796392.2642099997</v>
      </c>
      <c r="AB8" s="8">
        <v>0</v>
      </c>
      <c r="AC8" s="8">
        <v>0</v>
      </c>
      <c r="AD8" s="8">
        <v>0</v>
      </c>
      <c r="AE8" s="11">
        <v>140824459.52420998</v>
      </c>
      <c r="AF8" s="24">
        <v>1.778</v>
      </c>
    </row>
    <row r="9" spans="1:33" ht="12.95" customHeight="1" x14ac:dyDescent="0.2">
      <c r="A9" s="12">
        <v>8</v>
      </c>
      <c r="B9" s="17">
        <v>32506</v>
      </c>
      <c r="C9" s="17">
        <v>25704</v>
      </c>
      <c r="D9" s="16" t="s">
        <v>38</v>
      </c>
      <c r="E9" s="22" t="s">
        <v>53</v>
      </c>
      <c r="F9" s="9">
        <v>0</v>
      </c>
      <c r="G9" s="9">
        <v>0</v>
      </c>
      <c r="H9" s="9">
        <v>0</v>
      </c>
      <c r="I9" s="9">
        <v>9000000</v>
      </c>
      <c r="J9" s="9">
        <v>4160000</v>
      </c>
      <c r="K9" s="10">
        <v>37864212</v>
      </c>
      <c r="L9" s="9">
        <v>0</v>
      </c>
      <c r="M9" s="9">
        <v>0</v>
      </c>
      <c r="N9" s="9">
        <v>6634000</v>
      </c>
      <c r="O9" s="9">
        <v>0</v>
      </c>
      <c r="P9" s="9">
        <v>0</v>
      </c>
      <c r="Q9" s="9">
        <v>0</v>
      </c>
      <c r="R9" s="9">
        <v>57658212</v>
      </c>
      <c r="S9" s="8">
        <v>0</v>
      </c>
      <c r="T9" s="8">
        <v>0</v>
      </c>
      <c r="U9" s="8">
        <v>0</v>
      </c>
      <c r="V9" s="8">
        <v>0</v>
      </c>
      <c r="W9" s="8">
        <v>5933462</v>
      </c>
      <c r="X9" s="8">
        <v>2053790.1143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11">
        <v>7987252.1142999995</v>
      </c>
      <c r="AF9" s="15">
        <v>0.13900000000000001</v>
      </c>
    </row>
    <row r="10" spans="1:33" ht="12.95" customHeight="1" x14ac:dyDescent="0.2">
      <c r="A10" s="12">
        <v>9</v>
      </c>
      <c r="B10" s="14">
        <v>28689</v>
      </c>
      <c r="C10" s="14">
        <v>24754</v>
      </c>
      <c r="D10" s="13" t="s">
        <v>39</v>
      </c>
      <c r="E10" s="21" t="s">
        <v>53</v>
      </c>
      <c r="F10" s="9">
        <v>64780000</v>
      </c>
      <c r="G10" s="9">
        <v>3625016</v>
      </c>
      <c r="H10" s="9">
        <v>0</v>
      </c>
      <c r="I10" s="9">
        <v>0</v>
      </c>
      <c r="J10" s="9">
        <v>13000000</v>
      </c>
      <c r="K10" s="10">
        <v>2175000</v>
      </c>
      <c r="L10" s="9">
        <v>0</v>
      </c>
      <c r="M10" s="9">
        <v>1087500</v>
      </c>
      <c r="N10" s="9">
        <v>1087000</v>
      </c>
      <c r="O10" s="9">
        <v>1800000</v>
      </c>
      <c r="P10" s="9">
        <v>0</v>
      </c>
      <c r="Q10" s="9">
        <v>0</v>
      </c>
      <c r="R10" s="9">
        <v>87554516</v>
      </c>
      <c r="S10" s="8">
        <v>41032732</v>
      </c>
      <c r="T10" s="8">
        <v>1634500</v>
      </c>
      <c r="U10" s="8">
        <v>0</v>
      </c>
      <c r="V10" s="8">
        <v>0</v>
      </c>
      <c r="W10" s="8">
        <v>16900790</v>
      </c>
      <c r="X10" s="8">
        <v>10800306</v>
      </c>
      <c r="Y10" s="8">
        <v>0</v>
      </c>
      <c r="Z10" s="8">
        <v>961040</v>
      </c>
      <c r="AA10" s="8">
        <v>2440528.79739</v>
      </c>
      <c r="AB10" s="8">
        <v>0</v>
      </c>
      <c r="AC10" s="8">
        <v>0</v>
      </c>
      <c r="AD10" s="8">
        <v>0</v>
      </c>
      <c r="AE10" s="11">
        <v>73769896.797389999</v>
      </c>
      <c r="AF10" s="18">
        <v>0.86</v>
      </c>
      <c r="AG10" s="23"/>
    </row>
    <row r="11" spans="1:33" ht="12.95" customHeight="1" x14ac:dyDescent="0.2">
      <c r="A11" s="12">
        <v>10</v>
      </c>
      <c r="B11" s="17">
        <v>29585</v>
      </c>
      <c r="C11" s="17">
        <v>24776</v>
      </c>
      <c r="D11" s="16" t="s">
        <v>40</v>
      </c>
      <c r="E11" s="22" t="s">
        <v>53</v>
      </c>
      <c r="F11" s="9">
        <v>0</v>
      </c>
      <c r="G11" s="9">
        <v>2995380</v>
      </c>
      <c r="H11" s="9">
        <v>4474580</v>
      </c>
      <c r="I11" s="9">
        <v>0</v>
      </c>
      <c r="J11" s="9">
        <v>66564000</v>
      </c>
      <c r="K11" s="10">
        <v>5916800</v>
      </c>
      <c r="L11" s="9">
        <v>0</v>
      </c>
      <c r="M11" s="9">
        <v>2958400</v>
      </c>
      <c r="N11" s="9">
        <v>0</v>
      </c>
      <c r="O11" s="9">
        <v>17750400</v>
      </c>
      <c r="P11" s="9">
        <v>0</v>
      </c>
      <c r="Q11" s="9">
        <v>0</v>
      </c>
      <c r="R11" s="9">
        <v>100659560</v>
      </c>
      <c r="S11" s="8">
        <v>0</v>
      </c>
      <c r="T11" s="8">
        <v>1295500</v>
      </c>
      <c r="U11" s="8">
        <v>0</v>
      </c>
      <c r="V11" s="8">
        <v>0</v>
      </c>
      <c r="W11" s="8">
        <v>51605380</v>
      </c>
      <c r="X11" s="8">
        <v>3775676</v>
      </c>
      <c r="Y11" s="8">
        <v>0</v>
      </c>
      <c r="Z11" s="8">
        <v>1279466</v>
      </c>
      <c r="AA11" s="8">
        <v>3487057.5402299999</v>
      </c>
      <c r="AB11" s="8">
        <v>0</v>
      </c>
      <c r="AC11" s="8">
        <v>0</v>
      </c>
      <c r="AD11" s="8">
        <v>0</v>
      </c>
      <c r="AE11" s="11">
        <v>61443079.540229999</v>
      </c>
      <c r="AF11" s="15">
        <v>0.74099999999999999</v>
      </c>
      <c r="AG11" s="23"/>
    </row>
    <row r="12" spans="1:33" ht="12.95" customHeight="1" x14ac:dyDescent="0.2">
      <c r="A12" s="12">
        <v>11</v>
      </c>
      <c r="B12" s="14">
        <v>28567</v>
      </c>
      <c r="C12" s="14">
        <v>24938</v>
      </c>
      <c r="D12" s="13" t="s">
        <v>41</v>
      </c>
      <c r="E12" s="21" t="s">
        <v>53</v>
      </c>
      <c r="F12" s="9">
        <v>59967500</v>
      </c>
      <c r="G12" s="9">
        <v>8291177</v>
      </c>
      <c r="H12" s="9">
        <v>12436766</v>
      </c>
      <c r="I12" s="9">
        <v>0</v>
      </c>
      <c r="J12" s="9">
        <v>55274514</v>
      </c>
      <c r="K12" s="10">
        <v>5526887</v>
      </c>
      <c r="L12" s="9">
        <v>0</v>
      </c>
      <c r="M12" s="9">
        <v>13819122</v>
      </c>
      <c r="N12" s="9">
        <v>100285202</v>
      </c>
      <c r="O12" s="9">
        <v>0</v>
      </c>
      <c r="P12" s="9">
        <v>0</v>
      </c>
      <c r="Q12" s="9">
        <v>0</v>
      </c>
      <c r="R12" s="9">
        <v>255601168</v>
      </c>
      <c r="S12" s="8">
        <v>77223544</v>
      </c>
      <c r="T12" s="8">
        <v>18790499.5</v>
      </c>
      <c r="U12" s="8">
        <v>7911000</v>
      </c>
      <c r="V12" s="8">
        <v>0</v>
      </c>
      <c r="W12" s="8">
        <v>31906255</v>
      </c>
      <c r="X12" s="8">
        <v>13227142</v>
      </c>
      <c r="Y12" s="8">
        <v>0</v>
      </c>
      <c r="Z12" s="8">
        <v>7571741.5</v>
      </c>
      <c r="AA12" s="8">
        <v>28290640.810479999</v>
      </c>
      <c r="AB12" s="8">
        <v>0</v>
      </c>
      <c r="AC12" s="8">
        <v>0</v>
      </c>
      <c r="AD12" s="8">
        <v>0</v>
      </c>
      <c r="AE12" s="11">
        <v>184920822.81048</v>
      </c>
      <c r="AF12" s="15">
        <v>0.72299999999999998</v>
      </c>
      <c r="AG12" s="23"/>
    </row>
    <row r="13" spans="1:33" ht="12.95" customHeight="1" x14ac:dyDescent="0.2">
      <c r="A13" s="12">
        <v>12</v>
      </c>
      <c r="B13" s="17">
        <v>29563</v>
      </c>
      <c r="C13" s="17">
        <v>24942</v>
      </c>
      <c r="D13" s="16" t="s">
        <v>42</v>
      </c>
      <c r="E13" s="22" t="s">
        <v>53</v>
      </c>
      <c r="F13" s="9">
        <v>0</v>
      </c>
      <c r="G13" s="9">
        <v>1102908</v>
      </c>
      <c r="H13" s="9">
        <v>0</v>
      </c>
      <c r="I13" s="9">
        <v>0</v>
      </c>
      <c r="J13" s="9">
        <v>7352721</v>
      </c>
      <c r="K13" s="10">
        <v>735272</v>
      </c>
      <c r="L13" s="9">
        <v>0</v>
      </c>
      <c r="M13" s="9">
        <v>1838180</v>
      </c>
      <c r="N13" s="9">
        <v>13436106</v>
      </c>
      <c r="O13" s="9">
        <v>0</v>
      </c>
      <c r="P13" s="9">
        <v>0</v>
      </c>
      <c r="Q13" s="9">
        <v>0</v>
      </c>
      <c r="R13" s="9">
        <v>24465187</v>
      </c>
      <c r="S13" s="8">
        <v>0</v>
      </c>
      <c r="T13" s="8">
        <v>720000</v>
      </c>
      <c r="U13" s="8">
        <v>0</v>
      </c>
      <c r="V13" s="8">
        <v>0</v>
      </c>
      <c r="W13" s="8">
        <v>8763794</v>
      </c>
      <c r="X13" s="8">
        <v>370262.45299999998</v>
      </c>
      <c r="Y13" s="8">
        <v>0</v>
      </c>
      <c r="Z13" s="8">
        <v>0</v>
      </c>
      <c r="AA13" s="8">
        <v>3790373.4899200001</v>
      </c>
      <c r="AB13" s="8">
        <v>0</v>
      </c>
      <c r="AC13" s="8">
        <v>0</v>
      </c>
      <c r="AD13" s="8">
        <v>0</v>
      </c>
      <c r="AE13" s="11">
        <v>13644429.942919999</v>
      </c>
      <c r="AF13" s="15">
        <v>0.55800000000000005</v>
      </c>
      <c r="AG13" s="23"/>
    </row>
    <row r="14" spans="1:33" ht="12.95" customHeight="1" x14ac:dyDescent="0.2">
      <c r="A14" s="12">
        <v>13</v>
      </c>
      <c r="B14" s="14">
        <v>30547</v>
      </c>
      <c r="C14" s="14">
        <v>25008</v>
      </c>
      <c r="D14" s="13" t="s">
        <v>43</v>
      </c>
      <c r="E14" s="21" t="s">
        <v>53</v>
      </c>
      <c r="F14" s="9">
        <v>0</v>
      </c>
      <c r="G14" s="9">
        <v>15000000</v>
      </c>
      <c r="H14" s="9">
        <v>20000000</v>
      </c>
      <c r="I14" s="9">
        <v>0</v>
      </c>
      <c r="J14" s="9">
        <v>60000000</v>
      </c>
      <c r="K14" s="10">
        <v>2000000</v>
      </c>
      <c r="L14" s="9">
        <v>0</v>
      </c>
      <c r="M14" s="9">
        <v>10000000</v>
      </c>
      <c r="N14" s="9">
        <v>100000000</v>
      </c>
      <c r="O14" s="9">
        <v>0</v>
      </c>
      <c r="P14" s="9">
        <v>0</v>
      </c>
      <c r="Q14" s="9">
        <v>0</v>
      </c>
      <c r="R14" s="9">
        <v>207000000</v>
      </c>
      <c r="S14" s="8">
        <v>0</v>
      </c>
      <c r="T14" s="8">
        <v>75000</v>
      </c>
      <c r="U14" s="8">
        <v>52389999</v>
      </c>
      <c r="V14" s="8">
        <v>0</v>
      </c>
      <c r="W14" s="8">
        <v>195672121</v>
      </c>
      <c r="X14" s="8">
        <v>1686869.6577300001</v>
      </c>
      <c r="Y14" s="8">
        <v>0</v>
      </c>
      <c r="Z14" s="8">
        <v>69365685</v>
      </c>
      <c r="AA14" s="8">
        <v>7457827.7219500002</v>
      </c>
      <c r="AB14" s="8">
        <v>0</v>
      </c>
      <c r="AC14" s="8">
        <v>0</v>
      </c>
      <c r="AD14" s="8">
        <v>0</v>
      </c>
      <c r="AE14" s="11">
        <v>326647502.37967998</v>
      </c>
      <c r="AF14" s="24">
        <v>1.5780000000000001</v>
      </c>
      <c r="AG14" s="23"/>
    </row>
    <row r="15" spans="1:33" ht="12.95" customHeight="1" x14ac:dyDescent="0.2">
      <c r="A15" s="12">
        <v>14</v>
      </c>
      <c r="B15" s="14">
        <v>29995</v>
      </c>
      <c r="C15" s="14" t="s">
        <v>54</v>
      </c>
      <c r="D15" s="13" t="s">
        <v>44</v>
      </c>
      <c r="E15" s="21" t="s">
        <v>53</v>
      </c>
      <c r="F15" s="9">
        <v>349947613</v>
      </c>
      <c r="G15" s="9">
        <v>52912500</v>
      </c>
      <c r="H15" s="9">
        <v>0</v>
      </c>
      <c r="I15" s="9">
        <v>0</v>
      </c>
      <c r="J15" s="9">
        <v>141205825</v>
      </c>
      <c r="K15" s="10">
        <v>8818750</v>
      </c>
      <c r="L15" s="9">
        <v>0</v>
      </c>
      <c r="M15" s="9">
        <v>9524250</v>
      </c>
      <c r="N15" s="9">
        <v>110036835</v>
      </c>
      <c r="O15" s="9">
        <v>0</v>
      </c>
      <c r="P15" s="9">
        <v>0</v>
      </c>
      <c r="Q15" s="9">
        <v>0</v>
      </c>
      <c r="R15" s="9">
        <v>672445773</v>
      </c>
      <c r="S15" s="8">
        <v>153323214</v>
      </c>
      <c r="T15" s="8">
        <v>6921817.375</v>
      </c>
      <c r="U15" s="8">
        <v>0</v>
      </c>
      <c r="V15" s="8">
        <v>8144248</v>
      </c>
      <c r="W15" s="8">
        <v>29794801.75</v>
      </c>
      <c r="X15" s="8">
        <v>0</v>
      </c>
      <c r="Y15" s="8">
        <v>0</v>
      </c>
      <c r="Z15" s="8">
        <v>13132625.4</v>
      </c>
      <c r="AA15" s="8">
        <v>24005434.12937</v>
      </c>
      <c r="AB15" s="8">
        <v>0</v>
      </c>
      <c r="AC15" s="8">
        <v>0</v>
      </c>
      <c r="AD15" s="8">
        <v>0</v>
      </c>
      <c r="AE15" s="11">
        <v>235322140.65437001</v>
      </c>
      <c r="AF15" s="15">
        <v>0.34994961691040333</v>
      </c>
    </row>
    <row r="16" spans="1:33" ht="12.95" customHeight="1" x14ac:dyDescent="0.2">
      <c r="A16" s="12">
        <v>15</v>
      </c>
      <c r="B16" s="17">
        <v>30347</v>
      </c>
      <c r="C16" s="17">
        <v>25072</v>
      </c>
      <c r="D16" s="16" t="s">
        <v>45</v>
      </c>
      <c r="E16" s="22" t="s">
        <v>53</v>
      </c>
      <c r="F16" s="9">
        <v>546517088</v>
      </c>
      <c r="G16" s="9">
        <v>14172288</v>
      </c>
      <c r="H16" s="9">
        <v>28344576</v>
      </c>
      <c r="I16" s="9">
        <v>0</v>
      </c>
      <c r="J16" s="9">
        <v>109304832</v>
      </c>
      <c r="K16" s="10">
        <v>5664672</v>
      </c>
      <c r="L16" s="9">
        <v>0</v>
      </c>
      <c r="M16" s="9">
        <v>11336416</v>
      </c>
      <c r="N16" s="9">
        <v>47827936</v>
      </c>
      <c r="O16" s="9">
        <v>0</v>
      </c>
      <c r="P16" s="9">
        <v>0</v>
      </c>
      <c r="Q16" s="9">
        <v>0</v>
      </c>
      <c r="R16" s="9">
        <v>763167808</v>
      </c>
      <c r="S16" s="8">
        <v>484771882.63</v>
      </c>
      <c r="T16" s="8">
        <v>4617046</v>
      </c>
      <c r="U16" s="8">
        <v>45086364</v>
      </c>
      <c r="V16" s="8">
        <v>0</v>
      </c>
      <c r="W16" s="8">
        <v>76548557</v>
      </c>
      <c r="X16" s="8">
        <v>1461684</v>
      </c>
      <c r="Y16" s="8">
        <v>0</v>
      </c>
      <c r="Z16" s="8">
        <v>52850744</v>
      </c>
      <c r="AA16" s="8">
        <v>55403530.62878</v>
      </c>
      <c r="AB16" s="8">
        <v>0</v>
      </c>
      <c r="AC16" s="8">
        <v>0</v>
      </c>
      <c r="AD16" s="8">
        <v>0</v>
      </c>
      <c r="AE16" s="11">
        <v>720739808.25878</v>
      </c>
      <c r="AF16" s="18">
        <v>0.94399999999999995</v>
      </c>
    </row>
    <row r="17" spans="1:32" ht="12.95" customHeight="1" x14ac:dyDescent="0.2">
      <c r="A17" s="12">
        <v>16</v>
      </c>
      <c r="B17" s="17">
        <v>31026</v>
      </c>
      <c r="C17" s="17">
        <v>25206</v>
      </c>
      <c r="D17" s="16" t="s">
        <v>46</v>
      </c>
      <c r="E17" s="22" t="s">
        <v>53</v>
      </c>
      <c r="F17" s="9">
        <v>0</v>
      </c>
      <c r="G17" s="9">
        <v>10392052</v>
      </c>
      <c r="H17" s="9">
        <v>16627298</v>
      </c>
      <c r="I17" s="9">
        <v>0</v>
      </c>
      <c r="J17" s="9">
        <v>62352454</v>
      </c>
      <c r="K17" s="10">
        <v>4156807</v>
      </c>
      <c r="L17" s="9">
        <v>0</v>
      </c>
      <c r="M17" s="9">
        <v>2078438</v>
      </c>
      <c r="N17" s="9">
        <v>131271264</v>
      </c>
      <c r="O17" s="9">
        <v>0</v>
      </c>
      <c r="P17" s="9">
        <v>0</v>
      </c>
      <c r="Q17" s="9">
        <v>0</v>
      </c>
      <c r="R17" s="9">
        <v>226878313</v>
      </c>
      <c r="S17" s="8">
        <v>0</v>
      </c>
      <c r="T17" s="8">
        <v>2836500</v>
      </c>
      <c r="U17" s="8">
        <v>0</v>
      </c>
      <c r="V17" s="8">
        <v>0</v>
      </c>
      <c r="W17" s="8">
        <v>113231624</v>
      </c>
      <c r="X17" s="8">
        <v>5983641</v>
      </c>
      <c r="Y17" s="8">
        <v>0</v>
      </c>
      <c r="Z17" s="8">
        <v>20578191</v>
      </c>
      <c r="AA17" s="8">
        <v>31948361.939520001</v>
      </c>
      <c r="AB17" s="8">
        <v>0</v>
      </c>
      <c r="AC17" s="8">
        <v>0</v>
      </c>
      <c r="AD17" s="8">
        <v>0</v>
      </c>
      <c r="AE17" s="11">
        <v>174578317.93952</v>
      </c>
      <c r="AF17" s="18">
        <v>0.76900000000000002</v>
      </c>
    </row>
    <row r="18" spans="1:32" ht="12.95" customHeight="1" x14ac:dyDescent="0.2">
      <c r="A18" s="12">
        <v>17</v>
      </c>
      <c r="B18" s="17">
        <v>27079</v>
      </c>
      <c r="C18" s="17">
        <v>23945</v>
      </c>
      <c r="D18" s="16" t="s">
        <v>47</v>
      </c>
      <c r="E18" s="22" t="s">
        <v>53</v>
      </c>
      <c r="F18" s="9">
        <v>1480000000</v>
      </c>
      <c r="G18" s="9">
        <v>101000000</v>
      </c>
      <c r="H18" s="9">
        <v>151000000</v>
      </c>
      <c r="I18" s="9">
        <v>0</v>
      </c>
      <c r="J18" s="9">
        <v>447470000</v>
      </c>
      <c r="K18" s="10">
        <v>141000000</v>
      </c>
      <c r="L18" s="9">
        <v>0</v>
      </c>
      <c r="M18" s="9">
        <v>0</v>
      </c>
      <c r="N18" s="9">
        <v>617910000</v>
      </c>
      <c r="O18" s="9">
        <v>460000000</v>
      </c>
      <c r="P18" s="9">
        <v>55000000</v>
      </c>
      <c r="Q18" s="9">
        <v>30000000</v>
      </c>
      <c r="R18" s="9">
        <v>3483380000</v>
      </c>
      <c r="S18" s="8">
        <v>1740031366.21</v>
      </c>
      <c r="T18" s="8">
        <v>176225591</v>
      </c>
      <c r="U18" s="8">
        <v>112517182</v>
      </c>
      <c r="V18" s="8">
        <v>288677275</v>
      </c>
      <c r="W18" s="8">
        <v>766656748</v>
      </c>
      <c r="X18" s="8">
        <v>116310000.1336</v>
      </c>
      <c r="Y18" s="8">
        <v>0</v>
      </c>
      <c r="Z18" s="8">
        <v>1435924564</v>
      </c>
      <c r="AA18" s="8">
        <v>71214567.07062</v>
      </c>
      <c r="AB18" s="8">
        <v>0</v>
      </c>
      <c r="AC18" s="8">
        <v>0</v>
      </c>
      <c r="AD18" s="8">
        <v>0</v>
      </c>
      <c r="AE18" s="11">
        <v>4707557293.4142199</v>
      </c>
      <c r="AF18" s="24">
        <v>1.6020000000000001</v>
      </c>
    </row>
    <row r="19" spans="1:32" ht="12.95" customHeight="1" x14ac:dyDescent="0.2">
      <c r="A19" s="12">
        <v>18</v>
      </c>
      <c r="B19" s="14">
        <v>27340</v>
      </c>
      <c r="C19" s="14">
        <v>24071</v>
      </c>
      <c r="D19" s="13" t="s">
        <v>48</v>
      </c>
      <c r="E19" s="21" t="s">
        <v>53</v>
      </c>
      <c r="F19" s="9">
        <v>77410200</v>
      </c>
      <c r="G19" s="9">
        <v>11295570</v>
      </c>
      <c r="H19" s="9">
        <v>3791520</v>
      </c>
      <c r="I19" s="9">
        <v>0</v>
      </c>
      <c r="J19" s="9">
        <v>35545500</v>
      </c>
      <c r="K19" s="10">
        <v>7899000</v>
      </c>
      <c r="L19" s="9">
        <v>0</v>
      </c>
      <c r="M19" s="9">
        <v>1737780</v>
      </c>
      <c r="N19" s="9">
        <v>1737780</v>
      </c>
      <c r="O19" s="9">
        <v>9004860</v>
      </c>
      <c r="P19" s="9">
        <v>0</v>
      </c>
      <c r="Q19" s="9">
        <v>0</v>
      </c>
      <c r="R19" s="9">
        <v>148422210</v>
      </c>
      <c r="S19" s="8">
        <v>0</v>
      </c>
      <c r="T19" s="8">
        <v>1713273</v>
      </c>
      <c r="U19" s="8">
        <v>7018182</v>
      </c>
      <c r="V19" s="8">
        <v>0</v>
      </c>
      <c r="W19" s="8">
        <v>20950287</v>
      </c>
      <c r="X19" s="8">
        <v>1429751</v>
      </c>
      <c r="Y19" s="8">
        <v>0</v>
      </c>
      <c r="Z19" s="8">
        <v>15786363</v>
      </c>
      <c r="AA19" s="8">
        <v>11665450.02465</v>
      </c>
      <c r="AB19" s="8">
        <v>0</v>
      </c>
      <c r="AC19" s="8">
        <v>0</v>
      </c>
      <c r="AD19" s="8">
        <v>0</v>
      </c>
      <c r="AE19" s="11">
        <v>58563306.02465</v>
      </c>
      <c r="AF19" s="15">
        <v>0.42</v>
      </c>
    </row>
    <row r="20" spans="1:32" ht="12.95" customHeight="1" x14ac:dyDescent="0.2">
      <c r="A20" s="12">
        <v>19</v>
      </c>
      <c r="B20" s="17">
        <v>28023</v>
      </c>
      <c r="C20" s="17">
        <v>24283</v>
      </c>
      <c r="D20" s="16" t="s">
        <v>49</v>
      </c>
      <c r="E20" s="22" t="s">
        <v>53</v>
      </c>
      <c r="F20" s="9">
        <v>0</v>
      </c>
      <c r="G20" s="9">
        <v>383008560</v>
      </c>
      <c r="H20" s="9">
        <v>574512840</v>
      </c>
      <c r="I20" s="9">
        <v>0</v>
      </c>
      <c r="J20" s="9">
        <v>1196909736</v>
      </c>
      <c r="K20" s="10">
        <v>191504280</v>
      </c>
      <c r="L20" s="9">
        <v>0</v>
      </c>
      <c r="M20" s="9">
        <v>95752140</v>
      </c>
      <c r="N20" s="9">
        <v>1263265410</v>
      </c>
      <c r="O20" s="9">
        <v>84252300</v>
      </c>
      <c r="P20" s="9">
        <v>0</v>
      </c>
      <c r="Q20" s="9">
        <v>0</v>
      </c>
      <c r="R20" s="9">
        <v>3789205266</v>
      </c>
      <c r="S20" s="8">
        <v>0</v>
      </c>
      <c r="T20" s="8">
        <v>146060355.375</v>
      </c>
      <c r="U20" s="8">
        <v>556845127</v>
      </c>
      <c r="V20" s="8">
        <v>503761669</v>
      </c>
      <c r="W20" s="8">
        <v>468476019</v>
      </c>
      <c r="X20" s="8">
        <v>55066657</v>
      </c>
      <c r="Y20" s="8">
        <v>0</v>
      </c>
      <c r="Z20" s="8">
        <v>997542856</v>
      </c>
      <c r="AA20" s="8">
        <v>147603050.05125001</v>
      </c>
      <c r="AB20" s="8">
        <v>0</v>
      </c>
      <c r="AC20" s="8">
        <v>0</v>
      </c>
      <c r="AD20" s="8">
        <v>0</v>
      </c>
      <c r="AE20" s="11">
        <v>2875355733.42625</v>
      </c>
      <c r="AF20" s="18">
        <v>0.77600000000000002</v>
      </c>
    </row>
    <row r="21" spans="1:32" ht="12.95" customHeight="1" x14ac:dyDescent="0.2">
      <c r="A21" s="12">
        <v>20</v>
      </c>
      <c r="B21" s="14">
        <v>28165</v>
      </c>
      <c r="C21" s="14">
        <v>24353</v>
      </c>
      <c r="D21" s="13" t="s">
        <v>50</v>
      </c>
      <c r="E21" s="21" t="s">
        <v>53</v>
      </c>
      <c r="F21" s="9">
        <v>0</v>
      </c>
      <c r="G21" s="9">
        <v>58986387</v>
      </c>
      <c r="H21" s="9">
        <v>147477942</v>
      </c>
      <c r="I21" s="9">
        <v>0</v>
      </c>
      <c r="J21" s="9">
        <v>176967144</v>
      </c>
      <c r="K21" s="10">
        <v>29489202</v>
      </c>
      <c r="L21" s="9">
        <v>0</v>
      </c>
      <c r="M21" s="9">
        <v>0</v>
      </c>
      <c r="N21" s="9">
        <v>322640928</v>
      </c>
      <c r="O21" s="9">
        <v>0</v>
      </c>
      <c r="P21" s="9">
        <v>0</v>
      </c>
      <c r="Q21" s="9">
        <v>0</v>
      </c>
      <c r="R21" s="9">
        <v>735561603</v>
      </c>
      <c r="S21" s="8">
        <v>0</v>
      </c>
      <c r="T21" s="8">
        <v>27292046</v>
      </c>
      <c r="U21" s="8">
        <v>490909</v>
      </c>
      <c r="V21" s="8">
        <v>0</v>
      </c>
      <c r="W21" s="8">
        <v>378382651</v>
      </c>
      <c r="X21" s="8">
        <v>61267558</v>
      </c>
      <c r="Y21" s="8">
        <v>0</v>
      </c>
      <c r="Z21" s="8">
        <v>56562928.5</v>
      </c>
      <c r="AA21" s="8">
        <v>33577061.565729998</v>
      </c>
      <c r="AB21" s="8">
        <v>0</v>
      </c>
      <c r="AC21" s="8">
        <v>0</v>
      </c>
      <c r="AD21" s="8">
        <v>0</v>
      </c>
      <c r="AE21" s="11">
        <v>557573154.06572998</v>
      </c>
      <c r="AF21" s="18">
        <v>0.75800000000000001</v>
      </c>
    </row>
    <row r="22" spans="1:32" ht="12.95" customHeight="1" x14ac:dyDescent="0.2">
      <c r="A22" s="12">
        <v>21</v>
      </c>
      <c r="B22" s="17">
        <v>27952</v>
      </c>
      <c r="C22" s="17">
        <v>24377</v>
      </c>
      <c r="D22" s="16" t="s">
        <v>51</v>
      </c>
      <c r="E22" s="22" t="s">
        <v>53</v>
      </c>
      <c r="F22" s="9">
        <v>323202468</v>
      </c>
      <c r="G22" s="9">
        <v>72211041</v>
      </c>
      <c r="H22" s="9">
        <v>108316561</v>
      </c>
      <c r="I22" s="9">
        <v>0</v>
      </c>
      <c r="J22" s="9">
        <v>1083165850</v>
      </c>
      <c r="K22" s="10">
        <v>72211041</v>
      </c>
      <c r="L22" s="9">
        <v>0</v>
      </c>
      <c r="M22" s="9">
        <v>144422081</v>
      </c>
      <c r="N22" s="9">
        <v>1314193748</v>
      </c>
      <c r="O22" s="9">
        <v>0</v>
      </c>
      <c r="P22" s="9">
        <v>7908120</v>
      </c>
      <c r="Q22" s="9">
        <v>0</v>
      </c>
      <c r="R22" s="9">
        <v>3125630910</v>
      </c>
      <c r="S22" s="8">
        <v>496433385.86000001</v>
      </c>
      <c r="T22" s="8">
        <v>36838136</v>
      </c>
      <c r="U22" s="8">
        <v>89035171</v>
      </c>
      <c r="V22" s="8">
        <v>78727272</v>
      </c>
      <c r="W22" s="8">
        <v>116556068</v>
      </c>
      <c r="X22" s="8">
        <v>23623481</v>
      </c>
      <c r="Y22" s="8">
        <v>22370139.440000001</v>
      </c>
      <c r="Z22" s="8">
        <v>513072614</v>
      </c>
      <c r="AA22" s="8">
        <v>143953719.66622001</v>
      </c>
      <c r="AB22" s="8">
        <v>0</v>
      </c>
      <c r="AC22" s="8">
        <v>0</v>
      </c>
      <c r="AD22" s="8">
        <v>0</v>
      </c>
      <c r="AE22" s="11">
        <v>1520609986.9662201</v>
      </c>
      <c r="AF22" s="15">
        <v>0.48799999999999999</v>
      </c>
    </row>
  </sheetData>
  <autoFilter ref="A1:AJ22">
    <sortState xmlns:xlrd2="http://schemas.microsoft.com/office/spreadsheetml/2017/richdata2" ref="A2:AG22">
      <sortCondition ref="E1:E6"/>
    </sortState>
  </autoFilter>
  <conditionalFormatting sqref="C23:C65536 C1">
    <cfRule type="duplicateValues" dxfId="1" priority="4" stopIfTrue="1"/>
  </conditionalFormatting>
  <conditionalFormatting sqref="C2:C22">
    <cfRule type="duplicateValues" dxfId="0" priority="8" stopIfTrue="1"/>
  </conditionalFormatting>
  <printOptions gridLines="1" gridLinesSet="0"/>
  <pageMargins left="0.75" right="0.75" top="1" bottom="0.75" header="0.5" footer="0.5"/>
  <pageSetup paperSize="8" scale="4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Yennifer Mancuello</dc:creator>
  <cp:lastModifiedBy>Yennifer Mancuello</cp:lastModifiedBy>
  <cp:lastPrinted>2026-06-19T14:24:29Z</cp:lastPrinted>
  <dcterms:created xsi:type="dcterms:W3CDTF">2026-06-19T16:29:18Z</dcterms:created>
  <dcterms:modified xsi:type="dcterms:W3CDTF">2026-06-19T19:26:29Z</dcterms:modified>
</cp:coreProperties>
</file>